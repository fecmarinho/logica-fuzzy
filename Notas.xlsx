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11010"/>
  <workbookPr/>
  <mc:AlternateContent xmlns:mc="http://schemas.openxmlformats.org/markup-compatibility/2006">
    <mc:Choice Requires="x15">
      <x15ac:absPath xmlns:x15ac="http://schemas.microsoft.com/office/spreadsheetml/2010/11/ac" url="/Users/fernanda/Documents/Logica Fuzzy/Trabalho Final/"/>
    </mc:Choice>
  </mc:AlternateContent>
  <xr:revisionPtr revIDLastSave="0" documentId="8_{4A70CD39-C79D-2340-AE51-4136DA106D93}" xr6:coauthVersionLast="47" xr6:coauthVersionMax="47" xr10:uidLastSave="{00000000-0000-0000-0000-000000000000}"/>
  <bookViews>
    <workbookView xWindow="500" yWindow="500" windowWidth="27940" windowHeight="16240" xr2:uid="{00000000-000D-0000-FFFF-FFFF00000000}"/>
  </bookViews>
  <sheets>
    <sheet name="Notas" sheetId="5" r:id="rId1"/>
    <sheet name="Árvore Parques" sheetId="4" r:id="rId2"/>
    <sheet name="BOP" sheetId="3" r:id="rId3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F7" i="5" l="1"/>
  <c r="F2" i="5"/>
  <c r="E3" i="5"/>
  <c r="E7" i="5"/>
  <c r="C8" i="5"/>
  <c r="E8" i="5" s="1"/>
  <c r="C9" i="5" l="1"/>
  <c r="E9" i="5" l="1"/>
  <c r="C10" i="5"/>
  <c r="C11" i="5" l="1"/>
  <c r="E10" i="5"/>
  <c r="G4" i="3"/>
  <c r="G3" i="3"/>
  <c r="C12" i="5" l="1"/>
  <c r="E11" i="5"/>
  <c r="C13" i="5" l="1"/>
  <c r="E12" i="5"/>
  <c r="C14" i="5" l="1"/>
  <c r="E13" i="5"/>
  <c r="C15" i="5" l="1"/>
  <c r="E14" i="5"/>
  <c r="C16" i="5" l="1"/>
  <c r="E16" i="5" s="1"/>
  <c r="E15" i="5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Fernanda Carvalho Marinho</author>
  </authors>
  <commentList>
    <comment ref="D1" authorId="0" shapeId="0" xr:uid="{00000000-0006-0000-0100-000001000000}">
      <text>
        <r>
          <rPr>
            <b/>
            <sz val="9"/>
            <color rgb="FF000000"/>
            <rFont val="Tahoma"/>
            <charset val="1"/>
          </rPr>
          <t>Fernanda Carvalho Marinho:</t>
        </r>
        <r>
          <rPr>
            <sz val="9"/>
            <color rgb="FF000000"/>
            <rFont val="Tahoma"/>
            <charset val="1"/>
          </rPr>
          <t xml:space="preserve">
</t>
        </r>
        <r>
          <rPr>
            <sz val="9"/>
            <color rgb="FF000000"/>
            <rFont val="Tahoma"/>
            <charset val="1"/>
          </rPr>
          <t xml:space="preserve">Exemplo:
</t>
        </r>
        <r>
          <rPr>
            <sz val="9"/>
            <color rgb="FF000000"/>
            <rFont val="Tahoma"/>
            <charset val="1"/>
          </rPr>
          <t xml:space="preserve">
</t>
        </r>
        <r>
          <rPr>
            <sz val="9"/>
            <color rgb="FF000000"/>
            <rFont val="Tahoma"/>
            <charset val="1"/>
          </rPr>
          <t xml:space="preserve">0 - falha extrememente rara (eq muito confiável)
</t>
        </r>
        <r>
          <rPr>
            <sz val="9"/>
            <color rgb="FF000000"/>
            <rFont val="Tahoma"/>
            <charset val="1"/>
          </rPr>
          <t>10 - falha extremamente frequente</t>
        </r>
      </text>
    </comment>
    <comment ref="E1" authorId="0" shapeId="0" xr:uid="{00000000-0006-0000-0100-000002000000}">
      <text>
        <r>
          <rPr>
            <b/>
            <sz val="9"/>
            <color rgb="FF000000"/>
            <rFont val="Tahoma"/>
            <charset val="1"/>
          </rPr>
          <t>Fernanda Carvalho Marinho:</t>
        </r>
        <r>
          <rPr>
            <sz val="9"/>
            <color rgb="FF000000"/>
            <rFont val="Tahoma"/>
            <charset val="1"/>
          </rPr>
          <t xml:space="preserve">
</t>
        </r>
        <r>
          <rPr>
            <sz val="9"/>
            <color rgb="FF000000"/>
            <rFont val="Tahoma"/>
            <charset val="1"/>
          </rPr>
          <t xml:space="preserve">Exemplo: 
</t>
        </r>
        <r>
          <rPr>
            <sz val="9"/>
            <color rgb="FF000000"/>
            <rFont val="Tahoma"/>
            <charset val="1"/>
          </rPr>
          <t xml:space="preserve">
</t>
        </r>
        <r>
          <rPr>
            <sz val="9"/>
            <color rgb="FF000000"/>
            <rFont val="Tahoma"/>
            <charset val="1"/>
          </rPr>
          <t xml:space="preserve">0 - não há impacto na geração
</t>
        </r>
        <r>
          <rPr>
            <sz val="9"/>
            <color rgb="FF000000"/>
            <rFont val="Tahoma"/>
            <charset val="1"/>
          </rPr>
          <t xml:space="preserve">1 - impacta muito pouco (exemplo, 1 string apenas ou impacto de performance)
</t>
        </r>
        <r>
          <rPr>
            <sz val="9"/>
            <color rgb="FF000000"/>
            <rFont val="Tahoma"/>
            <charset val="1"/>
          </rPr>
          <t xml:space="preserve">9 - para um parque alex inteiro
</t>
        </r>
        <r>
          <rPr>
            <sz val="9"/>
            <color rgb="FF000000"/>
            <rFont val="Tahoma"/>
            <charset val="1"/>
          </rPr>
          <t>10 - para todo o complexo alex</t>
        </r>
      </text>
    </comment>
    <comment ref="F1" authorId="0" shapeId="0" xr:uid="{00000000-0006-0000-0100-000003000000}">
      <text>
        <r>
          <rPr>
            <b/>
            <sz val="9"/>
            <color rgb="FF000000"/>
            <rFont val="Tahoma"/>
            <charset val="1"/>
          </rPr>
          <t>Fernanda Carvalho Marinho:</t>
        </r>
        <r>
          <rPr>
            <sz val="9"/>
            <color rgb="FF000000"/>
            <rFont val="Tahoma"/>
            <charset val="1"/>
          </rPr>
          <t xml:space="preserve">
</t>
        </r>
        <r>
          <rPr>
            <sz val="9"/>
            <color rgb="FF000000"/>
            <rFont val="Tahoma"/>
            <charset val="1"/>
          </rPr>
          <t xml:space="preserve">Exemplo:
</t>
        </r>
        <r>
          <rPr>
            <sz val="9"/>
            <color rgb="FF000000"/>
            <rFont val="Tahoma"/>
            <charset val="1"/>
          </rPr>
          <t xml:space="preserve">
</t>
        </r>
        <r>
          <rPr>
            <sz val="9"/>
            <color rgb="FF000000"/>
            <rFont val="Tahoma"/>
            <charset val="1"/>
          </rPr>
          <t xml:space="preserve">0 - spare chega muito rápido
</t>
        </r>
        <r>
          <rPr>
            <sz val="9"/>
            <color rgb="FF000000"/>
            <rFont val="Tahoma"/>
            <charset val="1"/>
          </rPr>
          <t>10 - compra/entrega muito demorada</t>
        </r>
      </text>
    </comment>
  </commentList>
</comments>
</file>

<file path=xl/sharedStrings.xml><?xml version="1.0" encoding="utf-8"?>
<sst xmlns="http://schemas.openxmlformats.org/spreadsheetml/2006/main" count="751" uniqueCount="386">
  <si>
    <t>Impacto na Geração</t>
  </si>
  <si>
    <t>Subestação</t>
  </si>
  <si>
    <t>Barra de 34,5kV</t>
  </si>
  <si>
    <t>Barra Esquerda (Lado A)</t>
  </si>
  <si>
    <t>Banco de Capacitores</t>
  </si>
  <si>
    <t>Conjunto de Saída p/ TSA 2</t>
  </si>
  <si>
    <t>Bay 1 de Conexão com o TFE</t>
  </si>
  <si>
    <t>Chave Seccionadora 89.111</t>
  </si>
  <si>
    <t>Chave Seccionadora 89.112</t>
  </si>
  <si>
    <t>Disjuntor 19T1</t>
  </si>
  <si>
    <t>Transformador de Corrente Fase A TC-111</t>
  </si>
  <si>
    <t>Transformador de Corrente Fase B TC-111</t>
  </si>
  <si>
    <t>Transformador de Corrente Fase C TC-111</t>
  </si>
  <si>
    <t>Pára-Raios Fase A PR.111</t>
  </si>
  <si>
    <t>Pára-Raios Fase B PR.111</t>
  </si>
  <si>
    <t>Pára-Raios Fase C PR.111</t>
  </si>
  <si>
    <t>Bays Alex I</t>
  </si>
  <si>
    <t xml:space="preserve">Bay Circuito 1 </t>
  </si>
  <si>
    <t>Pára-Raios Fase A PR-13C1</t>
  </si>
  <si>
    <t>Pára-Raios Fase B PR-13C1</t>
  </si>
  <si>
    <t>Pára-Raios Fase C PR-13C1</t>
  </si>
  <si>
    <t>Transformador de Corrente Fase A TC-13C1</t>
  </si>
  <si>
    <t>Transformador de Corrente Fase B TC-13C1</t>
  </si>
  <si>
    <t>Transformador de Corrente Fase C TC-13C1</t>
  </si>
  <si>
    <t>Disjuntor de Grupo 52-13C1</t>
  </si>
  <si>
    <t>Chave Seccionadora 89-13C1</t>
  </si>
  <si>
    <t xml:space="preserve">Bay Circuito 2 </t>
  </si>
  <si>
    <t>Pára-Raios Fase A PR-13C2</t>
  </si>
  <si>
    <t>Pára-Raios Fase B PR-13C2</t>
  </si>
  <si>
    <t>Pára-Raios Fase C PR-13C2</t>
  </si>
  <si>
    <t>Transformador de Corrente Fase A TC-13C2</t>
  </si>
  <si>
    <t>Transformador de Corrente Fase B TC-13C2</t>
  </si>
  <si>
    <t>Transformador de Corrente Fase C TC-13C2</t>
  </si>
  <si>
    <t>Disjuntor de Grupo 52-13C2</t>
  </si>
  <si>
    <t>Chave Seccionadora 89-13C2</t>
  </si>
  <si>
    <t xml:space="preserve">Bay de Manobra de Saída p/ SE </t>
  </si>
  <si>
    <t>Transformador de Corrente Fase A TC-13</t>
  </si>
  <si>
    <t>Transformador de Corrente Fase B TC-13</t>
  </si>
  <si>
    <t>Transformador de Corrente Fase C TC-13</t>
  </si>
  <si>
    <t>Chave Seccionadora 89-13</t>
  </si>
  <si>
    <t>Bays Alex III</t>
  </si>
  <si>
    <t>Pára-Raios Fase A PR-14C1</t>
  </si>
  <si>
    <t>Pára-Raios Fase B PR-14C1</t>
  </si>
  <si>
    <t>Pára-Raios Fase C PR-14C1</t>
  </si>
  <si>
    <t>Transformador de Corrente Fase A TC-14C1</t>
  </si>
  <si>
    <t>Transformador de Corrente Fase B TC-14C1</t>
  </si>
  <si>
    <t>Transformador de Corrente Fase C TC-14C1</t>
  </si>
  <si>
    <t>Disjuntor de Grupo 52-14C1</t>
  </si>
  <si>
    <t>Chave Seccionadora 89-14C1</t>
  </si>
  <si>
    <t>Pára-Raios Fase A PR-14C2</t>
  </si>
  <si>
    <t>Pára-Raios Fase B PR-14C2</t>
  </si>
  <si>
    <t>Pára-Raios Fase C PR-14C2</t>
  </si>
  <si>
    <t>Transformador de Corrente Fase A TC-14C2</t>
  </si>
  <si>
    <t>Transformador de Corrente Fase B TC-14C2</t>
  </si>
  <si>
    <t>Transformador de Corrente Fase C TC-14C2</t>
  </si>
  <si>
    <t>Disjuntor de Grupo 52-14C2</t>
  </si>
  <si>
    <t>Chave Seccionadora 89-14C2</t>
  </si>
  <si>
    <t>Transformador de Corrente Fase A TC-14</t>
  </si>
  <si>
    <t>Transformador de Corrente Fase B TC-14</t>
  </si>
  <si>
    <t>Transformador de Corrente Fase C TC-14</t>
  </si>
  <si>
    <t>Chave Seccionadora 89-14</t>
  </si>
  <si>
    <t>Bays Alex IV</t>
  </si>
  <si>
    <t>Pára-Raios Fase A PR-15C1</t>
  </si>
  <si>
    <t>Pára-Raios Fase B PR-15C1</t>
  </si>
  <si>
    <t>Pára-Raios Fase C PR-15C1</t>
  </si>
  <si>
    <t>Transformador de Corrente Fase A TC-15C1</t>
  </si>
  <si>
    <t>Transformador de Corrente Fase B TC-15C1</t>
  </si>
  <si>
    <t>Transformador de Corrente Fase C TC-15C1</t>
  </si>
  <si>
    <t>Disjuntor de Grupo 52-15C1</t>
  </si>
  <si>
    <t>Chave Seccionadora 89-15C1</t>
  </si>
  <si>
    <t>Pára-Raios Fase A PR-15C2</t>
  </si>
  <si>
    <t>Pára-Raios Fase B PR-15C2</t>
  </si>
  <si>
    <t>Pára-Raios Fase C PR-15C2</t>
  </si>
  <si>
    <t>Transformador de Corrente Fase A TC-15C2</t>
  </si>
  <si>
    <t>Transformador de Corrente Fase B TC-15C2</t>
  </si>
  <si>
    <t>Transformador de Corrente Fase C TC-15C2</t>
  </si>
  <si>
    <t>Disjuntor de Grupo 52-15C2</t>
  </si>
  <si>
    <t>Chave Seccionadora 89-15C2</t>
  </si>
  <si>
    <t>Transformador de Corrente Fase A TC-15</t>
  </si>
  <si>
    <t>Transformador de Corrente Fase B TC-15</t>
  </si>
  <si>
    <t>Transformador de Corrente Fase C TC-15</t>
  </si>
  <si>
    <t>Chave Seccionadora 89-15</t>
  </si>
  <si>
    <t>Bays Alex V</t>
  </si>
  <si>
    <t>Pára-Raios Fase A PR-16C1</t>
  </si>
  <si>
    <t>Pára-Raios Fase B PR-16C1</t>
  </si>
  <si>
    <t>Pára-Raios Fase C PR-16C1</t>
  </si>
  <si>
    <t>Transformador de Corrente Fase A TC-16C1</t>
  </si>
  <si>
    <t>Transformador de Corrente Fase B TC-16C1</t>
  </si>
  <si>
    <t>Transformador de Corrente Fase C TC-16C1</t>
  </si>
  <si>
    <t>Disjuntor de Grupo 52-16C1</t>
  </si>
  <si>
    <t>Chave Seccionadora 89-16C1</t>
  </si>
  <si>
    <t>Pára-Raios Fase A PR-16C2</t>
  </si>
  <si>
    <t>Pára-Raios Fase B PR-16C2</t>
  </si>
  <si>
    <t>Pára-Raios Fase C PR-16C2</t>
  </si>
  <si>
    <t>Transformador de Corrente Fase A TC-16C2</t>
  </si>
  <si>
    <t>Transformador de Corrente Fase B TC-16C2</t>
  </si>
  <si>
    <t>Transformador de Corrente Fase C TC-16C2</t>
  </si>
  <si>
    <t>Disjuntor de Grupo 52-16C2</t>
  </si>
  <si>
    <t>Chave Seccionadora 89-16C2</t>
  </si>
  <si>
    <t>Transformador de Corrente Fase A TC-16</t>
  </si>
  <si>
    <t>Transformador de Corrente Fase B TC-16</t>
  </si>
  <si>
    <t>Transformador de Corrente Fase C TC-16</t>
  </si>
  <si>
    <t>Chave Seccionadora 89-16</t>
  </si>
  <si>
    <t>Bays Alex VI</t>
  </si>
  <si>
    <t>Pára-Raios Fase A PR-17C1</t>
  </si>
  <si>
    <t>Pára-Raios Fase B PR-17C1</t>
  </si>
  <si>
    <t>Pára-Raios Fase C PR-17C1</t>
  </si>
  <si>
    <t>Transformador de Corrente Fase A TC-17C1</t>
  </si>
  <si>
    <t>Transformador de Corrente Fase B TC-17C1</t>
  </si>
  <si>
    <t>Transformador de Corrente Fase C TC-17C1</t>
  </si>
  <si>
    <t>Disjuntor de Grupo 52-17C1</t>
  </si>
  <si>
    <t>Chave Seccionadora 89-17C1</t>
  </si>
  <si>
    <t>Pára-Raios Fase A PR-17C2</t>
  </si>
  <si>
    <t>Pára-Raios Fase B PR-17C2</t>
  </si>
  <si>
    <t>Pára-Raios Fase C PR-17C2</t>
  </si>
  <si>
    <t>Transformador de Corrente Fase A TC-17C2</t>
  </si>
  <si>
    <t>Transformador de Corrente Fase B TC-17C2</t>
  </si>
  <si>
    <t>Transformador de Corrente Fase C TC-17C2</t>
  </si>
  <si>
    <t>Disjuntor de Grupo 52-17C2</t>
  </si>
  <si>
    <t>Chave Seccionadora 89-17C2</t>
  </si>
  <si>
    <t>Transformador de Corrente Fase A TC-17</t>
  </si>
  <si>
    <t>Transformador de Corrente Fase B TC-17</t>
  </si>
  <si>
    <t>Transformador de Corrente Fase C TC-17</t>
  </si>
  <si>
    <t>Chave Seccionadora 89-17</t>
  </si>
  <si>
    <t>Barra Direita (Lado B)</t>
  </si>
  <si>
    <t>Pára-Raios Fase A PR-26</t>
  </si>
  <si>
    <t>Pára-Raios Fase B PR-26</t>
  </si>
  <si>
    <t>Pára-Raios Fase C PR-26</t>
  </si>
  <si>
    <t>Transformador de Corrente Fase A TC-26</t>
  </si>
  <si>
    <t>Transformador de Corrente Fase B TC-26</t>
  </si>
  <si>
    <t>Transformador de Corrente Fase C TC-26</t>
  </si>
  <si>
    <t>Disjuntor 52-26</t>
  </si>
  <si>
    <t>Conjunto de Saída p/ TSA 1</t>
  </si>
  <si>
    <t>Transformador de Serviço Auxiliar 1</t>
  </si>
  <si>
    <t>Pára-Raios Fase A PR-TSA1</t>
  </si>
  <si>
    <t>Pára-Raios Fase B PR-TSA1</t>
  </si>
  <si>
    <t>Pára-Raios Fase C PR-TSA1</t>
  </si>
  <si>
    <t>Chave Seccionadora 89-FU1</t>
  </si>
  <si>
    <t>Chave Seccionadora 89.211</t>
  </si>
  <si>
    <t>Chave Seccionadora 89.212</t>
  </si>
  <si>
    <t>Disjuntor 52.211</t>
  </si>
  <si>
    <t>Transformador de Corrente Fase A TC-211</t>
  </si>
  <si>
    <t>Transformador de Corrente Fase B TC-211</t>
  </si>
  <si>
    <t>Transformador de Corrente Fase C TC-211</t>
  </si>
  <si>
    <t>Pára-Raios Fase A PR21</t>
  </si>
  <si>
    <t>Pára-Raios Fase B PR21</t>
  </si>
  <si>
    <t>Pára-Raios Fase C PR21</t>
  </si>
  <si>
    <t>Bays Alex VII</t>
  </si>
  <si>
    <t>Pára-Raios Fase A PR-21C1</t>
  </si>
  <si>
    <t>Pára-Raios Fase B PR-21C1</t>
  </si>
  <si>
    <t>Pára-Raios Fase C PR-21C1</t>
  </si>
  <si>
    <t>Transformador de Corrente Fase A TC-21C1</t>
  </si>
  <si>
    <t>Transformador de Corrente Fase B TC-21C1</t>
  </si>
  <si>
    <t>Transformador de Corrente Fase C TC-21C1</t>
  </si>
  <si>
    <t>Disjuntor de Grupo 52-21C1</t>
  </si>
  <si>
    <t>Chave Seccionadora 89-21C1</t>
  </si>
  <si>
    <t>Pára-Raios Fase A PR-21C2</t>
  </si>
  <si>
    <t>Pára-Raios Fase B PR-21C2</t>
  </si>
  <si>
    <t>Pára-Raios Fase C PR-21C2</t>
  </si>
  <si>
    <t>Transformador de Corrente Fase A TC-21C2</t>
  </si>
  <si>
    <t>Transformador de Corrente Fase B TC-21C2</t>
  </si>
  <si>
    <t>Transformador de Corrente Fase C TC-21C2</t>
  </si>
  <si>
    <t>Disjuntor de Grupo 52-21C2</t>
  </si>
  <si>
    <t>Chave Seccionadora 89-21C2</t>
  </si>
  <si>
    <t>Transformador de Corrente Fase A TC-21</t>
  </si>
  <si>
    <t>Transformador de Corrente Fase B TC-21</t>
  </si>
  <si>
    <t>Transformador de Corrente Fase C TC-21</t>
  </si>
  <si>
    <t>Chave Seccionadora 89-21</t>
  </si>
  <si>
    <t>Bays Alex VIII</t>
  </si>
  <si>
    <t>Pára-Raios Fase A PR-22C1</t>
  </si>
  <si>
    <t>Pára-Raios Fase B PR-22C1</t>
  </si>
  <si>
    <t>Pára-Raios Fase C PR-22C1</t>
  </si>
  <si>
    <t>Transformador de Corrente Fase A TC-22C1</t>
  </si>
  <si>
    <t>Transformador de Corrente Fase B TC-22C1</t>
  </si>
  <si>
    <t>Transformador de Corrente Fase C TC-22C1</t>
  </si>
  <si>
    <t>Disjuntor de Grupo 52-22C1</t>
  </si>
  <si>
    <t>Chave Seccionadora 89-22C1</t>
  </si>
  <si>
    <t>Pára-Raios Fase A PR-22C2</t>
  </si>
  <si>
    <t>Pára-Raios Fase B PR-22C2</t>
  </si>
  <si>
    <t>Pára-Raios Fase C PR-22C2</t>
  </si>
  <si>
    <t>Transformador de Corrente Fase A TC-22C2</t>
  </si>
  <si>
    <t>Transformador de Corrente Fase B TC-22C2</t>
  </si>
  <si>
    <t>Transformador de Corrente Fase C TC-22C2</t>
  </si>
  <si>
    <t>Disjuntor de Grupo 52-22C2</t>
  </si>
  <si>
    <t>Chave Seccionadora 89-22C2</t>
  </si>
  <si>
    <t>Transformador de Corrente Fase A TC-22</t>
  </si>
  <si>
    <t>Transformador de Corrente Fase B TC-22</t>
  </si>
  <si>
    <t>Transformador de Corrente Fase C TC-22</t>
  </si>
  <si>
    <t>Chave Seccionadora 89-22</t>
  </si>
  <si>
    <t>Bays Alex IX</t>
  </si>
  <si>
    <t>Pára-Raios Fase A PR-23C1</t>
  </si>
  <si>
    <t>Pára-Raios Fase B PR-23C1</t>
  </si>
  <si>
    <t>Pára-Raios Fase C PR-23C1</t>
  </si>
  <si>
    <t>Transformador de Corrente Fase A TC-23C1</t>
  </si>
  <si>
    <t>Transformador de Corrente Fase B TC-23C1</t>
  </si>
  <si>
    <t>Transformador de Corrente Fase C TC-23C1</t>
  </si>
  <si>
    <t>Disjuntor de Grupo 52-23C1</t>
  </si>
  <si>
    <t>Chave Seccionadora 89-23C1</t>
  </si>
  <si>
    <t>Pára-Raios Fase A PR-23C2</t>
  </si>
  <si>
    <t>Pára-Raios Fase B PR-23C2</t>
  </si>
  <si>
    <t>Pára-Raios Fase C PR-23C2</t>
  </si>
  <si>
    <t>Transformador de Corrente Fase A TC-23C2</t>
  </si>
  <si>
    <t>Transformador de Corrente Fase B TC-23C2</t>
  </si>
  <si>
    <t>Transformador de Corrente Fase C TC-23C2</t>
  </si>
  <si>
    <t>Disjuntor de Grupo 52-23C2</t>
  </si>
  <si>
    <t>Chave Seccionadora 89-23C2</t>
  </si>
  <si>
    <t>Transformador de Corrente Fase A TC-23</t>
  </si>
  <si>
    <t>Transformador de Corrente Fase B TC-23</t>
  </si>
  <si>
    <t>Transformador de Corrente Fase C TC-23</t>
  </si>
  <si>
    <t>Chave Seccionadora 89-23</t>
  </si>
  <si>
    <t>Bays Alex X</t>
  </si>
  <si>
    <t>Pára-Raios Fase A PR-24C1</t>
  </si>
  <si>
    <t>Pára-Raios Fase B PR-24C1</t>
  </si>
  <si>
    <t>Pára-Raios Fase C PR-24C1</t>
  </si>
  <si>
    <t>Transformador de Corrente Fase A TC-24C1</t>
  </si>
  <si>
    <t>Transformador de Corrente Fase B TC-24C1</t>
  </si>
  <si>
    <t>Transformador de Corrente Fase C TC-24C1</t>
  </si>
  <si>
    <t>Disjuntor de Grupo 52-24C1</t>
  </si>
  <si>
    <t>Chave Seccionadora 89-24C1</t>
  </si>
  <si>
    <t>Pára-Raios Fase A PR-24C2</t>
  </si>
  <si>
    <t>Pára-Raios Fase B PR-24C2</t>
  </si>
  <si>
    <t>Pára-Raios Fase C PR-24C2</t>
  </si>
  <si>
    <t>Transformador de Corrente Fase A TC-24C2</t>
  </si>
  <si>
    <t>Transformador de Corrente Fase B TC-24C2</t>
  </si>
  <si>
    <t>Transformador de Corrente Fase C TC-24C2</t>
  </si>
  <si>
    <t>Disjuntor de Grupo 52-24C2</t>
  </si>
  <si>
    <t>Chave Seccionadora 89-24C2</t>
  </si>
  <si>
    <t>Transformador de Corrente Fase A TC-24</t>
  </si>
  <si>
    <t>Transformador de Corrente Fase B TC-24</t>
  </si>
  <si>
    <t>Transformador de Corrente Fase C TC-24</t>
  </si>
  <si>
    <t>Chave Seccionadora 89-24</t>
  </si>
  <si>
    <t>Bays Alex XI</t>
  </si>
  <si>
    <t>Pára-Raios Fase A PR-25C1</t>
  </si>
  <si>
    <t>Pára-Raios Fase B PR-25C1</t>
  </si>
  <si>
    <t>Pára-Raios Fase C PR-25C1</t>
  </si>
  <si>
    <t>Transformador de Corrente Fase A TC-25C1</t>
  </si>
  <si>
    <t>Transformador de Corrente Fase B TC-25C1</t>
  </si>
  <si>
    <t>Transformador de Corrente Fase C TC-25C1</t>
  </si>
  <si>
    <t>Disjuntor de Grupo 52-25C1</t>
  </si>
  <si>
    <t>Chave Seccionadora 89-25C1</t>
  </si>
  <si>
    <t>Pára-Raios Fase A PR-25C2</t>
  </si>
  <si>
    <t>Pára-Raios Fase B PR-25C2</t>
  </si>
  <si>
    <t>Pára-Raios Fase C PR-25C2</t>
  </si>
  <si>
    <t>Transformador de Corrente Fase A TC-25C2</t>
  </si>
  <si>
    <t>Transformador de Corrente Fase B TC-25C2</t>
  </si>
  <si>
    <t>Transformador de Corrente Fase C TC-25C2</t>
  </si>
  <si>
    <t>Disjuntor de Grupo 52-25C2</t>
  </si>
  <si>
    <t>Chave Seccionadora 89-25C2</t>
  </si>
  <si>
    <t>Transformador de Corrente Fase A TC-25</t>
  </si>
  <si>
    <t>Transformador de Corrente Fase B TC-25</t>
  </si>
  <si>
    <t>Transformador de Corrente Fase C TC-25</t>
  </si>
  <si>
    <t>Chave Seccionadora 89-25</t>
  </si>
  <si>
    <t>Transformador de Força Elevador</t>
  </si>
  <si>
    <t>Transformador de Corrente de Baixa TC-4</t>
  </si>
  <si>
    <t>Transformador de Corrente de Baixa TC-5</t>
  </si>
  <si>
    <t>Transformador de Corrente de Baixa TC-6</t>
  </si>
  <si>
    <t>Transformador de Corrente de Baixa TC-7</t>
  </si>
  <si>
    <t>Transformador de Corrente de Baixa TC-8</t>
  </si>
  <si>
    <t>Transformador de Corrente de Baixa TC-9</t>
  </si>
  <si>
    <t>Transformador de Corrente de Baixa TC-10</t>
  </si>
  <si>
    <t>Transformador de Corrente de Baixa TC-11</t>
  </si>
  <si>
    <t>Transformador de Corrente de Baixa TC-12</t>
  </si>
  <si>
    <t>Transformador de Corrente de Baixa TC-13</t>
  </si>
  <si>
    <t>Transformador de Corrente de Baixa TC-14</t>
  </si>
  <si>
    <t>Transformador de Corrente de Baixa TC-15</t>
  </si>
  <si>
    <t>Resistor de Aterramento RAT-1</t>
  </si>
  <si>
    <t>Resistor de Aterramento RAT-2</t>
  </si>
  <si>
    <t>Transformador de Corrente de Alta TC-1</t>
  </si>
  <si>
    <t>Transformador de Corrente de Alta TC-2</t>
  </si>
  <si>
    <t>Transformador de Corrente de Alta TC-3</t>
  </si>
  <si>
    <t>Estrutura do Transformador de Força Elevador</t>
  </si>
  <si>
    <t>Transformador de Potencial 89B3 Fase A</t>
  </si>
  <si>
    <t>Transformador de Potencial 89B3 Fase B</t>
  </si>
  <si>
    <t>Transformador de Potencial 89B3 Fase C</t>
  </si>
  <si>
    <t>Transformador de Potencial 89B4 Fase A</t>
  </si>
  <si>
    <t>Transformador de Potencial 89B4 Fase B</t>
  </si>
  <si>
    <t>Transformador de Potencial 89B4 Fase C</t>
  </si>
  <si>
    <t>Transformador de Corrente de Neutro TC-16</t>
  </si>
  <si>
    <t>Transformador de Corrente de Neutro TC-17</t>
  </si>
  <si>
    <t>Transformador de Corrente de Neutro TC-18</t>
  </si>
  <si>
    <t>Transformador de Corrente de Neutro TC-19</t>
  </si>
  <si>
    <t>Transformador de Corrente de Neutro TC-20</t>
  </si>
  <si>
    <t>Transformador de Corrente de Neutro TC-21</t>
  </si>
  <si>
    <t>Equipamentos Auxiliares a confirmar (radiador etc)</t>
  </si>
  <si>
    <t>Cabos de MT</t>
  </si>
  <si>
    <t>Malha de Terra e SPDA</t>
  </si>
  <si>
    <t>Barramento da Subestação</t>
  </si>
  <si>
    <t>Cadeia de Isoladores</t>
  </si>
  <si>
    <t>Painéis</t>
  </si>
  <si>
    <t>Probabilidade de Falha</t>
  </si>
  <si>
    <t>Transformador de Serviço Auxiliar</t>
  </si>
  <si>
    <t>Cabos</t>
  </si>
  <si>
    <t>Antena</t>
  </si>
  <si>
    <t>Placas de Controle</t>
  </si>
  <si>
    <t>Bateria</t>
  </si>
  <si>
    <t>Estrutura</t>
  </si>
  <si>
    <t>Controlador</t>
  </si>
  <si>
    <t>Redutor</t>
  </si>
  <si>
    <t>Motor</t>
  </si>
  <si>
    <t>Módulos Fotovoltaicos</t>
  </si>
  <si>
    <t>Cabos e conexões</t>
  </si>
  <si>
    <t>Suporte dos Módulos</t>
  </si>
  <si>
    <t>Suportes</t>
  </si>
  <si>
    <t>Tubo de Torque</t>
  </si>
  <si>
    <t>Estaca</t>
  </si>
  <si>
    <t>Estrutura Mecânica</t>
  </si>
  <si>
    <t>Tracker 01</t>
  </si>
  <si>
    <t>Placa de Comunicação (monitoramento)</t>
  </si>
  <si>
    <t>Fonte de Alimentação CC</t>
  </si>
  <si>
    <t>Fusíveis</t>
  </si>
  <si>
    <t>Porta Fusíveis</t>
  </si>
  <si>
    <t>Dispositivo Anti-Surto</t>
  </si>
  <si>
    <t>Chave Seccionadora</t>
  </si>
  <si>
    <t>Estrutura do Painel</t>
  </si>
  <si>
    <t>QUADRO STRINGBOX 1</t>
  </si>
  <si>
    <t xml:space="preserve">CONJUNTO STRINGBOX 1
</t>
  </si>
  <si>
    <t>CONJUNTO ALIMENTADOR INVERSOR 1</t>
  </si>
  <si>
    <t>Grupo de Fusíveis</t>
  </si>
  <si>
    <t>Transformador de Corrente 18</t>
  </si>
  <si>
    <t>Transformador de Corrente 17</t>
  </si>
  <si>
    <t>Transformador de Corrente 16</t>
  </si>
  <si>
    <t>Transformador de Corrente 15</t>
  </si>
  <si>
    <t>Transformador de Corrente 14</t>
  </si>
  <si>
    <t>Transformador de Corrente 13</t>
  </si>
  <si>
    <t>Transformador de Corrente 12</t>
  </si>
  <si>
    <t>Transformador de Corrente 11</t>
  </si>
  <si>
    <t>Transformador de Corrente 10</t>
  </si>
  <si>
    <t>Entrada (CC)</t>
  </si>
  <si>
    <t>Chave Seccionadora Interruptora de Carga</t>
  </si>
  <si>
    <t>Unidade Inversora 1</t>
  </si>
  <si>
    <t>Fusível AC</t>
  </si>
  <si>
    <t>Chave Seccionadora Q1</t>
  </si>
  <si>
    <t>Saída (CA)</t>
  </si>
  <si>
    <t>Lado 02</t>
  </si>
  <si>
    <t>Transformador de Corrente 09</t>
  </si>
  <si>
    <t>Transformador de Corrente 08</t>
  </si>
  <si>
    <t>Transformador de Corrente 07</t>
  </si>
  <si>
    <t>Transformador de Corrente 06</t>
  </si>
  <si>
    <t>Transformador de Corrente 05</t>
  </si>
  <si>
    <t>Transformador de Corrente 04</t>
  </si>
  <si>
    <t>Transformador de Corrente 03</t>
  </si>
  <si>
    <t>Transformador de Corrente 02</t>
  </si>
  <si>
    <t>Transformador de Corrente 01</t>
  </si>
  <si>
    <t>Lado 01</t>
  </si>
  <si>
    <t>Filtros de Ar</t>
  </si>
  <si>
    <t>Ventiladores</t>
  </si>
  <si>
    <t>Sistema de Refrigeração</t>
  </si>
  <si>
    <t>INVERSOR 1</t>
  </si>
  <si>
    <t>Painel Elétrico Sistema Auxiliar</t>
  </si>
  <si>
    <t>Indicador de Tensão Capacitivo Fase C</t>
  </si>
  <si>
    <t>Indicador de Tensão Capacitivo Fase B</t>
  </si>
  <si>
    <t>Indicador de Tensão Capacitivo Fase A</t>
  </si>
  <si>
    <t>Pára-Raios Fase C</t>
  </si>
  <si>
    <t>Pára-Raios Fase B</t>
  </si>
  <si>
    <t>Pára-Raios Fase A</t>
  </si>
  <si>
    <t>Saída de Linha</t>
  </si>
  <si>
    <t>Chave Seccionadora de Conexão SEC-1</t>
  </si>
  <si>
    <t>Conexão</t>
  </si>
  <si>
    <t>Transformador de Corrente Fase C</t>
  </si>
  <si>
    <t>Transformador de Corrente Fase B</t>
  </si>
  <si>
    <t>Transformador de Corrente Fase A</t>
  </si>
  <si>
    <t>Relé de Proteção</t>
  </si>
  <si>
    <t>Disjuntor DJ-1</t>
  </si>
  <si>
    <t>Chave Seccionadora de Proteção para terra</t>
  </si>
  <si>
    <t>Chave Seccionadora de Proteção do Trafo SEC-1</t>
  </si>
  <si>
    <t>Proteção do Trafo</t>
  </si>
  <si>
    <t>Cúbiculo de Sec/Proteção</t>
  </si>
  <si>
    <t>Transformador</t>
  </si>
  <si>
    <t>ITS</t>
  </si>
  <si>
    <t>ELETROCENTRO 1</t>
  </si>
  <si>
    <t>ALEXI</t>
  </si>
  <si>
    <t xml:space="preserve">Preencher colunas com valores de 0 a 10 de acordo com a experiência. </t>
  </si>
  <si>
    <t>Pára-Raios</t>
  </si>
  <si>
    <t>Chaves Seccionadoras</t>
  </si>
  <si>
    <t>Quantidade</t>
  </si>
  <si>
    <t>Disjuntor</t>
  </si>
  <si>
    <t>Transformador de Corrente</t>
  </si>
  <si>
    <t>Disjuntor de Grupo</t>
  </si>
  <si>
    <t>eqs</t>
  </si>
  <si>
    <t>Equipamento</t>
  </si>
  <si>
    <t>Sistema</t>
  </si>
  <si>
    <t>BOP</t>
  </si>
  <si>
    <t xml:space="preserve">Chave Seccionadora </t>
  </si>
  <si>
    <t>Indicador de Tensão Capacitivo</t>
  </si>
  <si>
    <t>PROAUTO STRINGBOX</t>
  </si>
  <si>
    <t>Lead Time (dias)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</si>
</sst>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1"/>
      <color theme="1"/>
      <name val="Calibri"/>
      <family val="2"/>
      <scheme val="minor"/>
    </font>
    <font>
      <b/>
      <sz val="14"/>
      <color theme="0"/>
      <name val="Calibri"/>
      <family val="2"/>
      <scheme val="minor"/>
    </font>
    <font>
      <b/>
      <sz val="16"/>
      <color theme="0"/>
      <name val="Calibri"/>
      <family val="2"/>
      <scheme val="minor"/>
    </font>
    <font>
      <sz val="11"/>
      <name val="Calibri"/>
      <family val="2"/>
      <scheme val="minor"/>
    </font>
    <font>
      <b/>
      <sz val="9"/>
      <color rgb="FF000000"/>
      <name val="Tahoma"/>
      <charset val="1"/>
    </font>
    <font>
      <sz val="9"/>
      <color rgb="FF000000"/>
      <name val="Tahoma"/>
      <charset val="1"/>
    </font>
    <font>
      <sz val="11"/>
      <color rgb="FF000000"/>
      <name val="Calibri"/>
      <family val="2"/>
      <scheme val="minor"/>
    </font>
  </fonts>
  <fills count="11">
    <fill>
      <patternFill patternType="none"/>
    </fill>
    <fill>
      <patternFill patternType="gray125"/>
    </fill>
    <fill>
      <patternFill patternType="solid">
        <fgColor rgb="FF00B05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4" tint="0.39997558519241921"/>
        <bgColor indexed="64"/>
      </patternFill>
    </fill>
    <fill>
      <patternFill patternType="solid">
        <fgColor theme="4" tint="-0.249977111117893"/>
        <bgColor indexed="64"/>
      </patternFill>
    </fill>
    <fill>
      <patternFill patternType="solid">
        <fgColor theme="1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5"/>
        <bgColor indexed="64"/>
      </patternFill>
    </fill>
  </fills>
  <borders count="8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</borders>
  <cellStyleXfs count="1">
    <xf numFmtId="0" fontId="0" fillId="0" borderId="0"/>
  </cellStyleXfs>
  <cellXfs count="47">
    <xf numFmtId="0" fontId="0" fillId="0" borderId="0" xfId="0"/>
    <xf numFmtId="0" fontId="0" fillId="3" borderId="1" xfId="0" applyFill="1" applyBorder="1"/>
    <xf numFmtId="0" fontId="0" fillId="3" borderId="2" xfId="0" applyFill="1" applyBorder="1" applyAlignment="1">
      <alignment horizontal="left" vertical="center"/>
    </xf>
    <xf numFmtId="0" fontId="0" fillId="8" borderId="1" xfId="0" applyFill="1" applyBorder="1" applyAlignment="1">
      <alignment horizontal="center"/>
    </xf>
    <xf numFmtId="0" fontId="0" fillId="9" borderId="5" xfId="0" applyFill="1" applyBorder="1" applyAlignment="1">
      <alignment horizontal="center" vertical="center"/>
    </xf>
    <xf numFmtId="0" fontId="0" fillId="3" borderId="0" xfId="0" applyFill="1"/>
    <xf numFmtId="0" fontId="0" fillId="8" borderId="6" xfId="0" applyFill="1" applyBorder="1" applyAlignment="1">
      <alignment horizontal="center"/>
    </xf>
    <xf numFmtId="0" fontId="3" fillId="8" borderId="6" xfId="0" applyFont="1" applyFill="1" applyBorder="1" applyAlignment="1">
      <alignment horizontal="center"/>
    </xf>
    <xf numFmtId="0" fontId="0" fillId="3" borderId="6" xfId="0" applyFill="1" applyBorder="1"/>
    <xf numFmtId="0" fontId="0" fillId="3" borderId="7" xfId="0" applyFill="1" applyBorder="1"/>
    <xf numFmtId="0" fontId="0" fillId="10" borderId="0" xfId="0" applyFill="1"/>
    <xf numFmtId="0" fontId="0" fillId="3" borderId="4" xfId="0" applyFill="1" applyBorder="1" applyAlignment="1">
      <alignment horizontal="center" vertical="center"/>
    </xf>
    <xf numFmtId="0" fontId="0" fillId="3" borderId="3" xfId="0" applyFill="1" applyBorder="1" applyAlignment="1">
      <alignment horizontal="center" vertical="center"/>
    </xf>
    <xf numFmtId="0" fontId="0" fillId="3" borderId="2" xfId="0" applyFill="1" applyBorder="1" applyAlignment="1">
      <alignment horizontal="center" vertical="center"/>
    </xf>
    <xf numFmtId="0" fontId="0" fillId="8" borderId="4" xfId="0" applyFill="1" applyBorder="1" applyAlignment="1">
      <alignment horizontal="center" vertical="center"/>
    </xf>
    <xf numFmtId="0" fontId="0" fillId="8" borderId="3" xfId="0" applyFill="1" applyBorder="1" applyAlignment="1">
      <alignment horizontal="center" vertical="center"/>
    </xf>
    <xf numFmtId="0" fontId="0" fillId="8" borderId="2" xfId="0" applyFill="1" applyBorder="1" applyAlignment="1">
      <alignment horizontal="center" vertical="center"/>
    </xf>
    <xf numFmtId="0" fontId="0" fillId="3" borderId="4" xfId="0" applyFill="1" applyBorder="1" applyAlignment="1">
      <alignment horizontal="left" vertical="center"/>
    </xf>
    <xf numFmtId="0" fontId="0" fillId="3" borderId="3" xfId="0" applyFill="1" applyBorder="1" applyAlignment="1">
      <alignment horizontal="left" vertical="center"/>
    </xf>
    <xf numFmtId="0" fontId="0" fillId="3" borderId="2" xfId="0" applyFill="1" applyBorder="1" applyAlignment="1">
      <alignment horizontal="left" vertical="center"/>
    </xf>
    <xf numFmtId="0" fontId="0" fillId="8" borderId="4" xfId="0" applyFill="1" applyBorder="1" applyAlignment="1">
      <alignment horizontal="center" vertical="center" wrapText="1"/>
    </xf>
    <xf numFmtId="0" fontId="0" fillId="8" borderId="3" xfId="0" applyFill="1" applyBorder="1" applyAlignment="1">
      <alignment horizontal="center" vertical="center" wrapText="1"/>
    </xf>
    <xf numFmtId="0" fontId="0" fillId="8" borderId="2" xfId="0" applyFill="1" applyBorder="1" applyAlignment="1">
      <alignment horizontal="center" vertical="center" wrapText="1"/>
    </xf>
    <xf numFmtId="0" fontId="0" fillId="9" borderId="4" xfId="0" applyFill="1" applyBorder="1" applyAlignment="1">
      <alignment horizontal="center" vertical="center"/>
    </xf>
    <xf numFmtId="0" fontId="0" fillId="9" borderId="3" xfId="0" applyFill="1" applyBorder="1" applyAlignment="1">
      <alignment horizontal="center" vertical="center"/>
    </xf>
    <xf numFmtId="0" fontId="0" fillId="9" borderId="2" xfId="0" applyFill="1" applyBorder="1" applyAlignment="1">
      <alignment horizontal="center" vertical="center"/>
    </xf>
    <xf numFmtId="0" fontId="1" fillId="6" borderId="4" xfId="0" applyFont="1" applyFill="1" applyBorder="1" applyAlignment="1">
      <alignment horizontal="center" vertical="center" wrapText="1"/>
    </xf>
    <xf numFmtId="0" fontId="1" fillId="6" borderId="3" xfId="0" applyFont="1" applyFill="1" applyBorder="1" applyAlignment="1">
      <alignment horizontal="center" vertical="center" wrapText="1"/>
    </xf>
    <xf numFmtId="0" fontId="1" fillId="6" borderId="2" xfId="0" applyFont="1" applyFill="1" applyBorder="1" applyAlignment="1">
      <alignment horizontal="center" vertical="center" wrapText="1"/>
    </xf>
    <xf numFmtId="0" fontId="0" fillId="5" borderId="4" xfId="0" applyFill="1" applyBorder="1" applyAlignment="1">
      <alignment horizontal="center" vertical="center" wrapText="1"/>
    </xf>
    <xf numFmtId="0" fontId="0" fillId="5" borderId="3" xfId="0" applyFill="1" applyBorder="1" applyAlignment="1">
      <alignment horizontal="center" vertical="center" wrapText="1"/>
    </xf>
    <xf numFmtId="0" fontId="2" fillId="7" borderId="4" xfId="0" applyFont="1" applyFill="1" applyBorder="1" applyAlignment="1">
      <alignment horizontal="center" vertical="center"/>
    </xf>
    <xf numFmtId="0" fontId="2" fillId="7" borderId="3" xfId="0" applyFont="1" applyFill="1" applyBorder="1" applyAlignment="1">
      <alignment horizontal="center" vertical="center"/>
    </xf>
    <xf numFmtId="0" fontId="0" fillId="4" borderId="4" xfId="0" applyFill="1" applyBorder="1" applyAlignment="1">
      <alignment horizontal="center" vertical="center"/>
    </xf>
    <xf numFmtId="0" fontId="0" fillId="4" borderId="3" xfId="0" applyFill="1" applyBorder="1" applyAlignment="1">
      <alignment horizontal="center" vertical="center"/>
    </xf>
    <xf numFmtId="0" fontId="0" fillId="4" borderId="2" xfId="0" applyFill="1" applyBorder="1" applyAlignment="1">
      <alignment horizontal="center" vertical="center"/>
    </xf>
    <xf numFmtId="0" fontId="0" fillId="0" borderId="0" xfId="0" applyAlignment="1">
      <alignment horizontal="center" vertical="center"/>
    </xf>
    <xf numFmtId="0" fontId="0" fillId="2" borderId="0" xfId="0" applyFill="1" applyAlignment="1">
      <alignment horizontal="center" vertical="center"/>
    </xf>
    <xf numFmtId="0" fontId="0" fillId="2" borderId="0" xfId="0" applyFill="1" applyAlignment="1">
      <alignment horizontal="center" vertical="center" wrapText="1"/>
    </xf>
    <xf numFmtId="0" fontId="0" fillId="0" borderId="0" xfId="0" applyAlignment="1">
      <alignment horizontal="center" vertical="center" wrapText="1"/>
    </xf>
    <xf numFmtId="0" fontId="0" fillId="10" borderId="0" xfId="0" applyFill="1" applyBorder="1" applyAlignment="1">
      <alignment vertical="center" wrapText="1"/>
    </xf>
    <xf numFmtId="0" fontId="0" fillId="0" borderId="0" xfId="0" applyBorder="1"/>
    <xf numFmtId="0" fontId="0" fillId="0" borderId="0" xfId="0" applyAlignment="1">
      <alignment vertical="center"/>
    </xf>
    <xf numFmtId="0" fontId="6" fillId="0" borderId="0" xfId="0" applyFont="1"/>
    <xf numFmtId="0" fontId="0" fillId="0" borderId="0" xfId="0" applyBorder="1" applyAlignment="1">
      <alignment horizontal="left"/>
    </xf>
    <xf numFmtId="0" fontId="0" fillId="0" borderId="0" xfId="0" applyNumberFormat="1" applyBorder="1"/>
    <xf numFmtId="0" fontId="0" fillId="0" borderId="0" xfId="0" applyFill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58840C8-C3BF-BE41-839A-243A754A8A86}">
  <dimension ref="A1:G17"/>
  <sheetViews>
    <sheetView tabSelected="1" workbookViewId="0">
      <selection activeCell="F8" sqref="F8"/>
    </sheetView>
  </sheetViews>
  <sheetFormatPr baseColWidth="10" defaultRowHeight="15" x14ac:dyDescent="0.2"/>
  <cols>
    <col min="1" max="1" width="18.33203125" customWidth="1"/>
    <col min="2" max="2" width="18.6640625" customWidth="1"/>
    <col min="3" max="3" width="16.33203125" customWidth="1"/>
    <col min="4" max="5" width="13" customWidth="1"/>
  </cols>
  <sheetData>
    <row r="1" spans="1:7" ht="32" x14ac:dyDescent="0.2">
      <c r="A1" s="40" t="s">
        <v>380</v>
      </c>
      <c r="B1" s="40" t="s">
        <v>379</v>
      </c>
      <c r="C1" s="40" t="s">
        <v>374</v>
      </c>
      <c r="D1" s="40" t="s">
        <v>289</v>
      </c>
      <c r="E1" s="40" t="s">
        <v>0</v>
      </c>
      <c r="F1" s="40" t="s">
        <v>385</v>
      </c>
    </row>
    <row r="2" spans="1:7" x14ac:dyDescent="0.2">
      <c r="A2" s="41" t="s">
        <v>381</v>
      </c>
      <c r="B2" s="44" t="s">
        <v>373</v>
      </c>
      <c r="C2" s="45">
        <v>35</v>
      </c>
      <c r="D2" s="41">
        <v>2</v>
      </c>
      <c r="E2" s="41">
        <v>3</v>
      </c>
      <c r="F2" s="41">
        <f>30*2</f>
        <v>60</v>
      </c>
      <c r="G2" s="41"/>
    </row>
    <row r="3" spans="1:7" x14ac:dyDescent="0.2">
      <c r="A3" s="41" t="s">
        <v>381</v>
      </c>
      <c r="B3" s="44" t="s">
        <v>375</v>
      </c>
      <c r="C3" s="45">
        <v>1</v>
      </c>
      <c r="D3" s="41">
        <v>5</v>
      </c>
      <c r="E3" s="41">
        <f t="shared" ref="E2:E4" si="0">10/C3</f>
        <v>10</v>
      </c>
      <c r="F3" s="41">
        <v>90</v>
      </c>
      <c r="G3" s="41"/>
    </row>
    <row r="4" spans="1:7" x14ac:dyDescent="0.2">
      <c r="A4" s="41" t="s">
        <v>381</v>
      </c>
      <c r="B4" s="44" t="s">
        <v>377</v>
      </c>
      <c r="C4" s="45">
        <v>22</v>
      </c>
      <c r="D4" s="41">
        <v>7</v>
      </c>
      <c r="E4" s="41">
        <v>1</v>
      </c>
      <c r="F4" s="46">
        <v>90</v>
      </c>
      <c r="G4" s="41"/>
    </row>
    <row r="5" spans="1:7" x14ac:dyDescent="0.2">
      <c r="A5" s="41" t="s">
        <v>381</v>
      </c>
      <c r="B5" s="44" t="s">
        <v>372</v>
      </c>
      <c r="C5" s="45">
        <v>73</v>
      </c>
      <c r="D5" s="46">
        <v>2</v>
      </c>
      <c r="E5" s="41">
        <v>8</v>
      </c>
      <c r="F5" s="46">
        <v>15</v>
      </c>
      <c r="G5" s="41"/>
    </row>
    <row r="6" spans="1:7" x14ac:dyDescent="0.2">
      <c r="A6" s="41" t="s">
        <v>381</v>
      </c>
      <c r="B6" s="44" t="s">
        <v>376</v>
      </c>
      <c r="C6" s="45">
        <v>102</v>
      </c>
      <c r="D6" s="46">
        <v>4</v>
      </c>
      <c r="E6" s="41">
        <v>8</v>
      </c>
      <c r="F6" s="46">
        <v>20</v>
      </c>
    </row>
    <row r="7" spans="1:7" x14ac:dyDescent="0.2">
      <c r="A7" s="41" t="s">
        <v>381</v>
      </c>
      <c r="B7" s="44" t="s">
        <v>290</v>
      </c>
      <c r="C7" s="45">
        <v>2</v>
      </c>
      <c r="D7" s="46">
        <v>2</v>
      </c>
      <c r="E7" s="41">
        <f t="shared" ref="E6:E7" si="1">10/C7</f>
        <v>5</v>
      </c>
      <c r="F7" s="41">
        <f>6*30</f>
        <v>180</v>
      </c>
    </row>
    <row r="8" spans="1:7" x14ac:dyDescent="0.2">
      <c r="A8" s="46" t="s">
        <v>384</v>
      </c>
      <c r="B8" s="44" t="s">
        <v>313</v>
      </c>
      <c r="C8" s="41">
        <f>160*9</f>
        <v>1440</v>
      </c>
      <c r="D8" s="41">
        <v>3</v>
      </c>
      <c r="E8" s="41">
        <f>10/C8</f>
        <v>6.9444444444444441E-3</v>
      </c>
      <c r="F8" s="41">
        <v>120</v>
      </c>
    </row>
    <row r="9" spans="1:7" x14ac:dyDescent="0.2">
      <c r="A9" s="46" t="s">
        <v>384</v>
      </c>
      <c r="B9" s="44" t="s">
        <v>312</v>
      </c>
      <c r="C9" s="41">
        <f>C8</f>
        <v>1440</v>
      </c>
      <c r="D9" s="41">
        <v>4</v>
      </c>
      <c r="E9" s="41">
        <f t="shared" ref="E9:E16" si="2">10/C9</f>
        <v>6.9444444444444441E-3</v>
      </c>
      <c r="F9" s="41">
        <v>120</v>
      </c>
    </row>
    <row r="10" spans="1:7" x14ac:dyDescent="0.2">
      <c r="A10" s="46" t="s">
        <v>384</v>
      </c>
      <c r="B10" s="44" t="s">
        <v>311</v>
      </c>
      <c r="C10" s="41">
        <f>C9</f>
        <v>1440</v>
      </c>
      <c r="D10" s="41">
        <v>4</v>
      </c>
      <c r="E10" s="41">
        <f t="shared" si="2"/>
        <v>6.9444444444444441E-3</v>
      </c>
      <c r="F10" s="41">
        <v>120</v>
      </c>
    </row>
    <row r="11" spans="1:7" x14ac:dyDescent="0.2">
      <c r="A11" s="46" t="s">
        <v>384</v>
      </c>
      <c r="B11" s="44" t="s">
        <v>310</v>
      </c>
      <c r="C11" s="41">
        <f t="shared" ref="C11:C16" si="3">C10</f>
        <v>1440</v>
      </c>
      <c r="D11">
        <v>9</v>
      </c>
      <c r="E11" s="41">
        <f t="shared" si="2"/>
        <v>6.9444444444444441E-3</v>
      </c>
      <c r="F11" s="41">
        <v>120</v>
      </c>
    </row>
    <row r="12" spans="1:7" x14ac:dyDescent="0.2">
      <c r="A12" s="46" t="s">
        <v>384</v>
      </c>
      <c r="B12" s="44" t="s">
        <v>309</v>
      </c>
      <c r="C12" s="41">
        <f t="shared" si="3"/>
        <v>1440</v>
      </c>
      <c r="D12">
        <v>9</v>
      </c>
      <c r="E12" s="41">
        <f t="shared" si="2"/>
        <v>6.9444444444444441E-3</v>
      </c>
      <c r="F12" s="41">
        <v>120</v>
      </c>
    </row>
    <row r="13" spans="1:7" x14ac:dyDescent="0.2">
      <c r="A13" s="46" t="s">
        <v>384</v>
      </c>
      <c r="B13" s="44" t="s">
        <v>308</v>
      </c>
      <c r="C13" s="41">
        <f t="shared" si="3"/>
        <v>1440</v>
      </c>
      <c r="D13">
        <v>7</v>
      </c>
      <c r="E13" s="41">
        <f t="shared" si="2"/>
        <v>6.9444444444444441E-3</v>
      </c>
      <c r="F13" s="41">
        <v>120</v>
      </c>
    </row>
    <row r="14" spans="1:7" x14ac:dyDescent="0.2">
      <c r="A14" s="46" t="s">
        <v>384</v>
      </c>
      <c r="B14" s="44" t="s">
        <v>307</v>
      </c>
      <c r="C14" s="41">
        <f t="shared" si="3"/>
        <v>1440</v>
      </c>
      <c r="D14">
        <v>3</v>
      </c>
      <c r="E14" s="41">
        <f t="shared" si="2"/>
        <v>6.9444444444444441E-3</v>
      </c>
      <c r="F14" s="41">
        <v>120</v>
      </c>
    </row>
    <row r="15" spans="1:7" x14ac:dyDescent="0.2">
      <c r="A15" s="46" t="s">
        <v>384</v>
      </c>
      <c r="B15" s="44" t="s">
        <v>291</v>
      </c>
      <c r="C15" s="41">
        <f t="shared" si="3"/>
        <v>1440</v>
      </c>
      <c r="D15">
        <v>3</v>
      </c>
      <c r="E15" s="41">
        <f t="shared" si="2"/>
        <v>6.9444444444444441E-3</v>
      </c>
      <c r="F15" s="41">
        <v>120</v>
      </c>
    </row>
    <row r="16" spans="1:7" x14ac:dyDescent="0.2">
      <c r="A16" s="46" t="s">
        <v>384</v>
      </c>
      <c r="B16" s="44" t="s">
        <v>292</v>
      </c>
      <c r="C16" s="41">
        <f t="shared" si="3"/>
        <v>1440</v>
      </c>
      <c r="D16">
        <v>3</v>
      </c>
      <c r="E16" s="41">
        <f t="shared" si="2"/>
        <v>6.9444444444444441E-3</v>
      </c>
      <c r="F16" s="41">
        <v>120</v>
      </c>
    </row>
    <row r="17" spans="2:2" x14ac:dyDescent="0.2">
      <c r="B17" s="44"/>
    </row>
  </sheetData>
  <pageMargins left="0.7" right="0.7" top="0.75" bottom="0.75" header="0.3" footer="0.3"/>
  <legacy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rgb="FFFFFF00"/>
  </sheetPr>
  <dimension ref="A2:H80"/>
  <sheetViews>
    <sheetView topLeftCell="C32" zoomScale="70" zoomScaleNormal="70" workbookViewId="0">
      <selection activeCell="F59" sqref="F59:F67"/>
    </sheetView>
  </sheetViews>
  <sheetFormatPr baseColWidth="10" defaultColWidth="8.83203125" defaultRowHeight="15" x14ac:dyDescent="0.2"/>
  <cols>
    <col min="1" max="1" width="26.33203125" customWidth="1"/>
    <col min="2" max="2" width="33.83203125" customWidth="1"/>
    <col min="3" max="3" width="39.83203125" customWidth="1"/>
    <col min="4" max="4" width="55.1640625" bestFit="1" customWidth="1"/>
    <col min="5" max="5" width="50.5" customWidth="1"/>
    <col min="6" max="6" width="52.5" bestFit="1" customWidth="1"/>
    <col min="7" max="7" width="43.5" customWidth="1"/>
    <col min="8" max="8" width="81.83203125" customWidth="1"/>
  </cols>
  <sheetData>
    <row r="2" spans="1:8" ht="34.5" customHeight="1" x14ac:dyDescent="0.2">
      <c r="H2" s="10" t="s">
        <v>371</v>
      </c>
    </row>
    <row r="3" spans="1:8" ht="15" customHeight="1" x14ac:dyDescent="0.2">
      <c r="A3" s="31" t="s">
        <v>370</v>
      </c>
      <c r="B3" s="26" t="s">
        <v>369</v>
      </c>
      <c r="C3" s="26" t="s">
        <v>368</v>
      </c>
      <c r="D3" s="4" t="s">
        <v>367</v>
      </c>
    </row>
    <row r="4" spans="1:8" ht="15" customHeight="1" x14ac:dyDescent="0.2">
      <c r="A4" s="32"/>
      <c r="B4" s="27"/>
      <c r="C4" s="27"/>
      <c r="D4" s="14" t="s">
        <v>366</v>
      </c>
      <c r="E4" s="11" t="s">
        <v>365</v>
      </c>
      <c r="F4" s="1" t="s">
        <v>364</v>
      </c>
      <c r="G4" s="1" t="s">
        <v>382</v>
      </c>
    </row>
    <row r="5" spans="1:8" ht="15" customHeight="1" x14ac:dyDescent="0.2">
      <c r="A5" s="32"/>
      <c r="B5" s="27"/>
      <c r="C5" s="27"/>
      <c r="D5" s="15"/>
      <c r="E5" s="12"/>
      <c r="F5" s="1" t="s">
        <v>363</v>
      </c>
      <c r="G5" s="1" t="s">
        <v>382</v>
      </c>
    </row>
    <row r="6" spans="1:8" ht="15" customHeight="1" x14ac:dyDescent="0.2">
      <c r="A6" s="32"/>
      <c r="B6" s="27"/>
      <c r="C6" s="27"/>
      <c r="D6" s="15"/>
      <c r="E6" s="12"/>
      <c r="F6" s="1" t="s">
        <v>362</v>
      </c>
      <c r="G6" s="1" t="s">
        <v>375</v>
      </c>
    </row>
    <row r="7" spans="1:8" ht="15" customHeight="1" x14ac:dyDescent="0.2">
      <c r="A7" s="32"/>
      <c r="B7" s="27"/>
      <c r="C7" s="27"/>
      <c r="D7" s="15"/>
      <c r="E7" s="12"/>
      <c r="F7" s="5" t="s">
        <v>361</v>
      </c>
      <c r="G7" s="5" t="s">
        <v>361</v>
      </c>
    </row>
    <row r="8" spans="1:8" ht="15" customHeight="1" x14ac:dyDescent="0.2">
      <c r="A8" s="32"/>
      <c r="B8" s="27"/>
      <c r="C8" s="27"/>
      <c r="D8" s="15"/>
      <c r="E8" s="12"/>
      <c r="F8" s="1" t="s">
        <v>351</v>
      </c>
      <c r="G8" s="1" t="s">
        <v>383</v>
      </c>
    </row>
    <row r="9" spans="1:8" ht="14.25" customHeight="1" x14ac:dyDescent="0.2">
      <c r="A9" s="32"/>
      <c r="B9" s="27"/>
      <c r="C9" s="27"/>
      <c r="D9" s="15"/>
      <c r="E9" s="12"/>
      <c r="F9" s="1" t="s">
        <v>350</v>
      </c>
      <c r="G9" s="1" t="s">
        <v>383</v>
      </c>
    </row>
    <row r="10" spans="1:8" ht="15" customHeight="1" x14ac:dyDescent="0.2">
      <c r="A10" s="32"/>
      <c r="B10" s="27"/>
      <c r="C10" s="27"/>
      <c r="D10" s="15"/>
      <c r="E10" s="12"/>
      <c r="F10" s="1" t="s">
        <v>349</v>
      </c>
      <c r="G10" s="1" t="s">
        <v>383</v>
      </c>
    </row>
    <row r="11" spans="1:8" ht="15" customHeight="1" x14ac:dyDescent="0.2">
      <c r="A11" s="32"/>
      <c r="B11" s="27"/>
      <c r="C11" s="27"/>
      <c r="D11" s="15"/>
      <c r="E11" s="12"/>
      <c r="F11" s="1" t="s">
        <v>360</v>
      </c>
      <c r="G11" s="1" t="s">
        <v>376</v>
      </c>
    </row>
    <row r="12" spans="1:8" ht="14.25" customHeight="1" x14ac:dyDescent="0.2">
      <c r="A12" s="32"/>
      <c r="B12" s="27"/>
      <c r="C12" s="27"/>
      <c r="D12" s="15"/>
      <c r="E12" s="12"/>
      <c r="F12" s="1" t="s">
        <v>359</v>
      </c>
      <c r="G12" s="1" t="s">
        <v>376</v>
      </c>
    </row>
    <row r="13" spans="1:8" ht="15" customHeight="1" x14ac:dyDescent="0.2">
      <c r="A13" s="32"/>
      <c r="B13" s="27"/>
      <c r="C13" s="27"/>
      <c r="D13" s="15"/>
      <c r="E13" s="13"/>
      <c r="F13" s="1" t="s">
        <v>358</v>
      </c>
      <c r="G13" s="1" t="s">
        <v>376</v>
      </c>
    </row>
    <row r="14" spans="1:8" ht="15" customHeight="1" x14ac:dyDescent="0.2">
      <c r="A14" s="32"/>
      <c r="B14" s="27"/>
      <c r="C14" s="27"/>
      <c r="D14" s="15"/>
      <c r="E14" s="11" t="s">
        <v>357</v>
      </c>
      <c r="F14" s="1" t="s">
        <v>356</v>
      </c>
      <c r="G14" s="1" t="s">
        <v>312</v>
      </c>
    </row>
    <row r="15" spans="1:8" ht="15" customHeight="1" x14ac:dyDescent="0.2">
      <c r="A15" s="32"/>
      <c r="B15" s="27"/>
      <c r="C15" s="27"/>
      <c r="D15" s="15"/>
      <c r="E15" s="12"/>
      <c r="F15" s="1" t="s">
        <v>351</v>
      </c>
      <c r="G15" s="1" t="s">
        <v>383</v>
      </c>
    </row>
    <row r="16" spans="1:8" ht="15" customHeight="1" x14ac:dyDescent="0.2">
      <c r="A16" s="32"/>
      <c r="B16" s="27"/>
      <c r="C16" s="27"/>
      <c r="D16" s="15"/>
      <c r="E16" s="12"/>
      <c r="F16" s="1" t="s">
        <v>350</v>
      </c>
      <c r="G16" s="1" t="s">
        <v>383</v>
      </c>
    </row>
    <row r="17" spans="1:7" ht="15" customHeight="1" x14ac:dyDescent="0.2">
      <c r="A17" s="32"/>
      <c r="B17" s="27"/>
      <c r="C17" s="27"/>
      <c r="D17" s="15"/>
      <c r="E17" s="13"/>
      <c r="F17" s="1" t="s">
        <v>349</v>
      </c>
      <c r="G17" s="1" t="s">
        <v>383</v>
      </c>
    </row>
    <row r="18" spans="1:7" ht="15" customHeight="1" x14ac:dyDescent="0.2">
      <c r="A18" s="32"/>
      <c r="B18" s="27"/>
      <c r="C18" s="27"/>
      <c r="D18" s="15"/>
      <c r="E18" s="11" t="s">
        <v>355</v>
      </c>
      <c r="F18" s="1" t="s">
        <v>354</v>
      </c>
      <c r="G18" s="1" t="s">
        <v>372</v>
      </c>
    </row>
    <row r="19" spans="1:7" ht="15" customHeight="1" x14ac:dyDescent="0.2">
      <c r="A19" s="32"/>
      <c r="B19" s="27"/>
      <c r="C19" s="27"/>
      <c r="D19" s="15"/>
      <c r="E19" s="12"/>
      <c r="F19" s="1" t="s">
        <v>353</v>
      </c>
      <c r="G19" s="1" t="s">
        <v>372</v>
      </c>
    </row>
    <row r="20" spans="1:7" ht="15" customHeight="1" x14ac:dyDescent="0.2">
      <c r="A20" s="32"/>
      <c r="B20" s="27"/>
      <c r="C20" s="27"/>
      <c r="D20" s="15"/>
      <c r="E20" s="12"/>
      <c r="F20" s="1" t="s">
        <v>352</v>
      </c>
      <c r="G20" s="1" t="s">
        <v>372</v>
      </c>
    </row>
    <row r="21" spans="1:7" ht="15" customHeight="1" x14ac:dyDescent="0.2">
      <c r="A21" s="32"/>
      <c r="B21" s="27"/>
      <c r="C21" s="27"/>
      <c r="D21" s="15"/>
      <c r="E21" s="12"/>
      <c r="F21" s="1" t="s">
        <v>351</v>
      </c>
      <c r="G21" s="1" t="s">
        <v>383</v>
      </c>
    </row>
    <row r="22" spans="1:7" ht="15" customHeight="1" x14ac:dyDescent="0.2">
      <c r="A22" s="32"/>
      <c r="B22" s="27"/>
      <c r="C22" s="27"/>
      <c r="D22" s="15"/>
      <c r="E22" s="12"/>
      <c r="F22" s="1" t="s">
        <v>350</v>
      </c>
      <c r="G22" s="1" t="s">
        <v>383</v>
      </c>
    </row>
    <row r="23" spans="1:7" ht="15" customHeight="1" x14ac:dyDescent="0.2">
      <c r="A23" s="32"/>
      <c r="B23" s="27"/>
      <c r="C23" s="27"/>
      <c r="D23" s="16"/>
      <c r="E23" s="13"/>
      <c r="F23" s="1" t="s">
        <v>349</v>
      </c>
      <c r="G23" s="1" t="s">
        <v>383</v>
      </c>
    </row>
    <row r="24" spans="1:7" ht="15" customHeight="1" x14ac:dyDescent="0.2">
      <c r="A24" s="32"/>
      <c r="B24" s="27"/>
      <c r="C24" s="27"/>
      <c r="D24" s="4" t="s">
        <v>348</v>
      </c>
    </row>
    <row r="25" spans="1:7" ht="15" customHeight="1" x14ac:dyDescent="0.2">
      <c r="A25" s="32"/>
      <c r="B25" s="27"/>
      <c r="C25" s="27"/>
      <c r="D25" s="23" t="s">
        <v>347</v>
      </c>
      <c r="E25" s="14" t="s">
        <v>346</v>
      </c>
      <c r="F25" s="3" t="s">
        <v>345</v>
      </c>
    </row>
    <row r="26" spans="1:7" ht="15" customHeight="1" x14ac:dyDescent="0.2">
      <c r="A26" s="32"/>
      <c r="B26" s="27"/>
      <c r="C26" s="27"/>
      <c r="D26" s="24"/>
      <c r="E26" s="16"/>
      <c r="F26" s="3" t="s">
        <v>344</v>
      </c>
    </row>
    <row r="27" spans="1:7" ht="15" customHeight="1" x14ac:dyDescent="0.2">
      <c r="A27" s="32"/>
      <c r="B27" s="27"/>
      <c r="C27" s="27"/>
      <c r="D27" s="24"/>
      <c r="E27" s="3" t="s">
        <v>295</v>
      </c>
    </row>
    <row r="28" spans="1:7" ht="15" customHeight="1" x14ac:dyDescent="0.2">
      <c r="A28" s="32"/>
      <c r="B28" s="27"/>
      <c r="C28" s="27"/>
      <c r="D28" s="24"/>
      <c r="E28" s="20" t="s">
        <v>343</v>
      </c>
      <c r="F28" s="14" t="s">
        <v>332</v>
      </c>
      <c r="G28" s="6" t="s">
        <v>331</v>
      </c>
    </row>
    <row r="29" spans="1:7" ht="15" customHeight="1" x14ac:dyDescent="0.2">
      <c r="A29" s="32"/>
      <c r="B29" s="27"/>
      <c r="C29" s="27"/>
      <c r="D29" s="24"/>
      <c r="E29" s="21"/>
      <c r="F29" s="15"/>
      <c r="G29" s="6" t="s">
        <v>330</v>
      </c>
    </row>
    <row r="30" spans="1:7" ht="15" customHeight="1" x14ac:dyDescent="0.2">
      <c r="A30" s="32"/>
      <c r="B30" s="27"/>
      <c r="C30" s="27"/>
      <c r="D30" s="24"/>
      <c r="E30" s="21"/>
      <c r="F30" s="15"/>
      <c r="G30" s="6" t="s">
        <v>329</v>
      </c>
    </row>
    <row r="31" spans="1:7" ht="15" customHeight="1" x14ac:dyDescent="0.2">
      <c r="A31" s="32"/>
      <c r="B31" s="27"/>
      <c r="C31" s="27"/>
      <c r="D31" s="24"/>
      <c r="E31" s="21"/>
      <c r="F31" s="15"/>
      <c r="G31" s="6" t="s">
        <v>328</v>
      </c>
    </row>
    <row r="32" spans="1:7" ht="15" customHeight="1" x14ac:dyDescent="0.2">
      <c r="A32" s="32"/>
      <c r="B32" s="27"/>
      <c r="C32" s="27"/>
      <c r="D32" s="24"/>
      <c r="E32" s="21"/>
      <c r="F32" s="16"/>
      <c r="G32" s="6" t="s">
        <v>295</v>
      </c>
    </row>
    <row r="33" spans="1:7" ht="15" customHeight="1" x14ac:dyDescent="0.2">
      <c r="A33" s="32"/>
      <c r="B33" s="27"/>
      <c r="C33" s="27"/>
      <c r="D33" s="24"/>
      <c r="E33" s="21"/>
      <c r="F33" s="14" t="s">
        <v>327</v>
      </c>
      <c r="G33" s="6" t="s">
        <v>342</v>
      </c>
    </row>
    <row r="34" spans="1:7" ht="15" customHeight="1" x14ac:dyDescent="0.2">
      <c r="A34" s="32"/>
      <c r="B34" s="27"/>
      <c r="C34" s="27"/>
      <c r="D34" s="24"/>
      <c r="E34" s="21"/>
      <c r="F34" s="15"/>
      <c r="G34" s="6" t="s">
        <v>341</v>
      </c>
    </row>
    <row r="35" spans="1:7" ht="15" customHeight="1" x14ac:dyDescent="0.2">
      <c r="A35" s="32"/>
      <c r="B35" s="27"/>
      <c r="C35" s="27"/>
      <c r="D35" s="24"/>
      <c r="E35" s="21"/>
      <c r="F35" s="15"/>
      <c r="G35" s="6" t="s">
        <v>340</v>
      </c>
    </row>
    <row r="36" spans="1:7" ht="15" customHeight="1" x14ac:dyDescent="0.2">
      <c r="A36" s="32"/>
      <c r="B36" s="27"/>
      <c r="C36" s="27"/>
      <c r="D36" s="24"/>
      <c r="E36" s="21"/>
      <c r="F36" s="15"/>
      <c r="G36" s="6" t="s">
        <v>339</v>
      </c>
    </row>
    <row r="37" spans="1:7" ht="15" customHeight="1" x14ac:dyDescent="0.2">
      <c r="A37" s="32"/>
      <c r="B37" s="27"/>
      <c r="C37" s="27"/>
      <c r="D37" s="24"/>
      <c r="E37" s="21"/>
      <c r="F37" s="15"/>
      <c r="G37" s="6" t="s">
        <v>338</v>
      </c>
    </row>
    <row r="38" spans="1:7" ht="15" customHeight="1" x14ac:dyDescent="0.2">
      <c r="A38" s="32"/>
      <c r="B38" s="27"/>
      <c r="C38" s="27"/>
      <c r="D38" s="24"/>
      <c r="E38" s="21"/>
      <c r="F38" s="15"/>
      <c r="G38" s="6" t="s">
        <v>337</v>
      </c>
    </row>
    <row r="39" spans="1:7" ht="15" customHeight="1" x14ac:dyDescent="0.2">
      <c r="A39" s="32"/>
      <c r="B39" s="27"/>
      <c r="C39" s="27"/>
      <c r="D39" s="24"/>
      <c r="E39" s="21"/>
      <c r="F39" s="15"/>
      <c r="G39" s="6" t="s">
        <v>336</v>
      </c>
    </row>
    <row r="40" spans="1:7" ht="15" customHeight="1" x14ac:dyDescent="0.2">
      <c r="A40" s="32"/>
      <c r="B40" s="27"/>
      <c r="C40" s="27"/>
      <c r="D40" s="24"/>
      <c r="E40" s="21"/>
      <c r="F40" s="15"/>
      <c r="G40" s="6" t="s">
        <v>335</v>
      </c>
    </row>
    <row r="41" spans="1:7" ht="15" customHeight="1" x14ac:dyDescent="0.2">
      <c r="A41" s="32"/>
      <c r="B41" s="27"/>
      <c r="C41" s="27"/>
      <c r="D41" s="24"/>
      <c r="E41" s="21"/>
      <c r="F41" s="15"/>
      <c r="G41" s="6" t="s">
        <v>334</v>
      </c>
    </row>
    <row r="42" spans="1:7" ht="15" customHeight="1" x14ac:dyDescent="0.2">
      <c r="A42" s="32"/>
      <c r="B42" s="27"/>
      <c r="C42" s="27"/>
      <c r="D42" s="24"/>
      <c r="E42" s="22"/>
      <c r="F42" s="16"/>
      <c r="G42" s="6" t="s">
        <v>317</v>
      </c>
    </row>
    <row r="43" spans="1:7" ht="15" customHeight="1" x14ac:dyDescent="0.2">
      <c r="A43" s="32"/>
      <c r="B43" s="27"/>
      <c r="C43" s="27"/>
      <c r="D43" s="24"/>
      <c r="E43" s="20" t="s">
        <v>333</v>
      </c>
      <c r="F43" s="14" t="s">
        <v>332</v>
      </c>
      <c r="G43" s="6" t="s">
        <v>331</v>
      </c>
    </row>
    <row r="44" spans="1:7" ht="15" customHeight="1" x14ac:dyDescent="0.2">
      <c r="A44" s="32"/>
      <c r="B44" s="27"/>
      <c r="C44" s="27"/>
      <c r="D44" s="24"/>
      <c r="E44" s="21"/>
      <c r="F44" s="15"/>
      <c r="G44" s="6" t="s">
        <v>330</v>
      </c>
    </row>
    <row r="45" spans="1:7" ht="15" customHeight="1" x14ac:dyDescent="0.2">
      <c r="A45" s="32"/>
      <c r="B45" s="27"/>
      <c r="C45" s="27"/>
      <c r="D45" s="24"/>
      <c r="E45" s="21"/>
      <c r="F45" s="15"/>
      <c r="G45" s="6" t="s">
        <v>329</v>
      </c>
    </row>
    <row r="46" spans="1:7" ht="15" customHeight="1" x14ac:dyDescent="0.2">
      <c r="A46" s="32"/>
      <c r="B46" s="27"/>
      <c r="C46" s="27"/>
      <c r="D46" s="24"/>
      <c r="E46" s="21"/>
      <c r="F46" s="15"/>
      <c r="G46" s="6" t="s">
        <v>328</v>
      </c>
    </row>
    <row r="47" spans="1:7" ht="15" customHeight="1" x14ac:dyDescent="0.2">
      <c r="A47" s="32"/>
      <c r="B47" s="27"/>
      <c r="C47" s="27"/>
      <c r="D47" s="24"/>
      <c r="E47" s="21"/>
      <c r="F47" s="16"/>
      <c r="G47" s="6" t="s">
        <v>295</v>
      </c>
    </row>
    <row r="48" spans="1:7" ht="15" customHeight="1" x14ac:dyDescent="0.2">
      <c r="A48" s="32"/>
      <c r="B48" s="27"/>
      <c r="C48" s="27"/>
      <c r="D48" s="24"/>
      <c r="E48" s="21"/>
      <c r="F48" s="14" t="s">
        <v>327</v>
      </c>
      <c r="G48" s="7" t="s">
        <v>326</v>
      </c>
    </row>
    <row r="49" spans="1:7" ht="15" customHeight="1" x14ac:dyDescent="0.2">
      <c r="A49" s="32"/>
      <c r="B49" s="27"/>
      <c r="C49" s="27"/>
      <c r="D49" s="24"/>
      <c r="E49" s="21"/>
      <c r="F49" s="15"/>
      <c r="G49" s="7" t="s">
        <v>325</v>
      </c>
    </row>
    <row r="50" spans="1:7" ht="15" customHeight="1" x14ac:dyDescent="0.2">
      <c r="A50" s="32"/>
      <c r="B50" s="27"/>
      <c r="C50" s="27"/>
      <c r="D50" s="24"/>
      <c r="E50" s="21"/>
      <c r="F50" s="15"/>
      <c r="G50" s="7" t="s">
        <v>324</v>
      </c>
    </row>
    <row r="51" spans="1:7" ht="15" customHeight="1" x14ac:dyDescent="0.2">
      <c r="A51" s="32"/>
      <c r="B51" s="27"/>
      <c r="C51" s="27"/>
      <c r="D51" s="24"/>
      <c r="E51" s="21"/>
      <c r="F51" s="15"/>
      <c r="G51" s="7" t="s">
        <v>323</v>
      </c>
    </row>
    <row r="52" spans="1:7" ht="15" customHeight="1" x14ac:dyDescent="0.2">
      <c r="A52" s="32"/>
      <c r="B52" s="27"/>
      <c r="C52" s="27"/>
      <c r="D52" s="24"/>
      <c r="E52" s="21"/>
      <c r="F52" s="15"/>
      <c r="G52" s="7" t="s">
        <v>322</v>
      </c>
    </row>
    <row r="53" spans="1:7" ht="15" customHeight="1" x14ac:dyDescent="0.2">
      <c r="A53" s="32"/>
      <c r="B53" s="27"/>
      <c r="C53" s="27"/>
      <c r="D53" s="24"/>
      <c r="E53" s="21"/>
      <c r="F53" s="15"/>
      <c r="G53" s="7" t="s">
        <v>321</v>
      </c>
    </row>
    <row r="54" spans="1:7" ht="15" customHeight="1" x14ac:dyDescent="0.2">
      <c r="A54" s="32"/>
      <c r="B54" s="27"/>
      <c r="C54" s="27"/>
      <c r="D54" s="24"/>
      <c r="E54" s="21"/>
      <c r="F54" s="15"/>
      <c r="G54" s="7" t="s">
        <v>320</v>
      </c>
    </row>
    <row r="55" spans="1:7" ht="15" customHeight="1" x14ac:dyDescent="0.2">
      <c r="A55" s="32"/>
      <c r="B55" s="27"/>
      <c r="C55" s="27"/>
      <c r="D55" s="24"/>
      <c r="E55" s="21"/>
      <c r="F55" s="15"/>
      <c r="G55" s="7" t="s">
        <v>319</v>
      </c>
    </row>
    <row r="56" spans="1:7" ht="15" customHeight="1" x14ac:dyDescent="0.2">
      <c r="A56" s="32"/>
      <c r="B56" s="27"/>
      <c r="C56" s="27"/>
      <c r="D56" s="24"/>
      <c r="E56" s="21"/>
      <c r="F56" s="15"/>
      <c r="G56" s="7" t="s">
        <v>318</v>
      </c>
    </row>
    <row r="57" spans="1:7" ht="15" customHeight="1" x14ac:dyDescent="0.2">
      <c r="A57" s="32"/>
      <c r="B57" s="27"/>
      <c r="C57" s="28"/>
      <c r="D57" s="25"/>
      <c r="E57" s="22"/>
      <c r="F57" s="16"/>
      <c r="G57" s="6" t="s">
        <v>317</v>
      </c>
    </row>
    <row r="58" spans="1:7" ht="15" customHeight="1" x14ac:dyDescent="0.2">
      <c r="A58" s="32"/>
      <c r="B58" s="27"/>
      <c r="C58" s="26" t="s">
        <v>316</v>
      </c>
      <c r="D58" s="29" t="s">
        <v>315</v>
      </c>
      <c r="E58" s="11" t="s">
        <v>314</v>
      </c>
      <c r="F58" s="1"/>
    </row>
    <row r="59" spans="1:7" ht="15" customHeight="1" x14ac:dyDescent="0.2">
      <c r="A59" s="32"/>
      <c r="B59" s="27"/>
      <c r="C59" s="27"/>
      <c r="D59" s="30"/>
      <c r="E59" s="12"/>
      <c r="F59" s="2" t="s">
        <v>313</v>
      </c>
    </row>
    <row r="60" spans="1:7" ht="15" customHeight="1" x14ac:dyDescent="0.2">
      <c r="A60" s="32"/>
      <c r="B60" s="27"/>
      <c r="C60" s="27"/>
      <c r="D60" s="30"/>
      <c r="E60" s="12"/>
      <c r="F60" s="2" t="s">
        <v>312</v>
      </c>
      <c r="G60" s="2" t="s">
        <v>312</v>
      </c>
    </row>
    <row r="61" spans="1:7" ht="15" customHeight="1" x14ac:dyDescent="0.2">
      <c r="A61" s="32"/>
      <c r="B61" s="27"/>
      <c r="C61" s="27"/>
      <c r="D61" s="30"/>
      <c r="E61" s="12"/>
      <c r="F61" s="2" t="s">
        <v>311</v>
      </c>
      <c r="G61" s="2" t="s">
        <v>311</v>
      </c>
    </row>
    <row r="62" spans="1:7" ht="15" customHeight="1" x14ac:dyDescent="0.2">
      <c r="A62" s="32"/>
      <c r="B62" s="27"/>
      <c r="C62" s="27"/>
      <c r="D62" s="30"/>
      <c r="E62" s="12"/>
      <c r="F62" s="2" t="s">
        <v>310</v>
      </c>
      <c r="G62" s="2" t="s">
        <v>310</v>
      </c>
    </row>
    <row r="63" spans="1:7" ht="15" customHeight="1" x14ac:dyDescent="0.2">
      <c r="A63" s="32"/>
      <c r="B63" s="27"/>
      <c r="C63" s="27"/>
      <c r="D63" s="30"/>
      <c r="E63" s="12"/>
      <c r="F63" s="2" t="s">
        <v>309</v>
      </c>
      <c r="G63" s="2" t="s">
        <v>309</v>
      </c>
    </row>
    <row r="64" spans="1:7" ht="15" customHeight="1" x14ac:dyDescent="0.2">
      <c r="A64" s="32"/>
      <c r="B64" s="27"/>
      <c r="C64" s="27"/>
      <c r="D64" s="30"/>
      <c r="E64" s="12"/>
      <c r="F64" s="2" t="s">
        <v>308</v>
      </c>
      <c r="G64" s="2" t="s">
        <v>308</v>
      </c>
    </row>
    <row r="65" spans="1:7" ht="15" customHeight="1" x14ac:dyDescent="0.2">
      <c r="A65" s="32"/>
      <c r="B65" s="27"/>
      <c r="C65" s="27"/>
      <c r="D65" s="30"/>
      <c r="E65" s="12"/>
      <c r="F65" s="2" t="s">
        <v>307</v>
      </c>
      <c r="G65" s="2" t="s">
        <v>307</v>
      </c>
    </row>
    <row r="66" spans="1:7" ht="15" customHeight="1" x14ac:dyDescent="0.2">
      <c r="A66" s="32"/>
      <c r="B66" s="27"/>
      <c r="C66" s="27"/>
      <c r="D66" s="30"/>
      <c r="E66" s="12"/>
      <c r="F66" s="2" t="s">
        <v>291</v>
      </c>
      <c r="G66" s="2" t="s">
        <v>291</v>
      </c>
    </row>
    <row r="67" spans="1:7" ht="15" customHeight="1" x14ac:dyDescent="0.2">
      <c r="A67" s="32"/>
      <c r="B67" s="27"/>
      <c r="C67" s="27"/>
      <c r="D67" s="30"/>
      <c r="E67" s="13"/>
      <c r="F67" s="2" t="s">
        <v>292</v>
      </c>
      <c r="G67" s="2" t="s">
        <v>292</v>
      </c>
    </row>
    <row r="68" spans="1:7" ht="15" customHeight="1" x14ac:dyDescent="0.2">
      <c r="A68" s="32"/>
      <c r="B68" s="27"/>
      <c r="C68" s="27"/>
      <c r="D68" s="30"/>
      <c r="E68" s="33" t="s">
        <v>306</v>
      </c>
      <c r="F68" s="17" t="s">
        <v>305</v>
      </c>
      <c r="G68" s="8" t="s">
        <v>304</v>
      </c>
    </row>
    <row r="69" spans="1:7" ht="15" customHeight="1" x14ac:dyDescent="0.2">
      <c r="A69" s="32"/>
      <c r="B69" s="27"/>
      <c r="C69" s="27"/>
      <c r="D69" s="30"/>
      <c r="E69" s="34"/>
      <c r="F69" s="18"/>
      <c r="G69" s="8" t="s">
        <v>303</v>
      </c>
    </row>
    <row r="70" spans="1:7" ht="15" customHeight="1" x14ac:dyDescent="0.2">
      <c r="A70" s="32"/>
      <c r="B70" s="27"/>
      <c r="C70" s="27"/>
      <c r="D70" s="30"/>
      <c r="E70" s="34"/>
      <c r="F70" s="18"/>
      <c r="G70" s="8" t="s">
        <v>302</v>
      </c>
    </row>
    <row r="71" spans="1:7" ht="15" customHeight="1" x14ac:dyDescent="0.2">
      <c r="A71" s="32"/>
      <c r="B71" s="27"/>
      <c r="C71" s="27"/>
      <c r="D71" s="30"/>
      <c r="E71" s="34"/>
      <c r="F71" s="18"/>
      <c r="G71" s="8" t="s">
        <v>301</v>
      </c>
    </row>
    <row r="72" spans="1:7" ht="15" customHeight="1" x14ac:dyDescent="0.2">
      <c r="A72" s="32"/>
      <c r="B72" s="27"/>
      <c r="C72" s="27"/>
      <c r="D72" s="30"/>
      <c r="E72" s="34"/>
      <c r="F72" s="18"/>
      <c r="G72" s="8" t="s">
        <v>300</v>
      </c>
    </row>
    <row r="73" spans="1:7" ht="15" customHeight="1" x14ac:dyDescent="0.2">
      <c r="A73" s="32"/>
      <c r="B73" s="27"/>
      <c r="C73" s="27"/>
      <c r="D73" s="30"/>
      <c r="E73" s="34"/>
      <c r="F73" s="18"/>
      <c r="G73" s="8" t="s">
        <v>299</v>
      </c>
    </row>
    <row r="74" spans="1:7" ht="15" customHeight="1" x14ac:dyDescent="0.2">
      <c r="A74" s="32"/>
      <c r="B74" s="27"/>
      <c r="C74" s="27"/>
      <c r="D74" s="30"/>
      <c r="E74" s="34"/>
      <c r="F74" s="18"/>
      <c r="G74" s="8" t="s">
        <v>298</v>
      </c>
    </row>
    <row r="75" spans="1:7" ht="15" customHeight="1" x14ac:dyDescent="0.2">
      <c r="A75" s="32"/>
      <c r="B75" s="27"/>
      <c r="C75" s="27"/>
      <c r="D75" s="30"/>
      <c r="E75" s="34"/>
      <c r="F75" s="19"/>
      <c r="G75" s="9" t="s">
        <v>297</v>
      </c>
    </row>
    <row r="76" spans="1:7" ht="15" customHeight="1" x14ac:dyDescent="0.2">
      <c r="A76" s="32"/>
      <c r="B76" s="27"/>
      <c r="C76" s="27"/>
      <c r="D76" s="30"/>
      <c r="E76" s="34"/>
      <c r="F76" s="17" t="s">
        <v>296</v>
      </c>
      <c r="G76" s="8" t="s">
        <v>295</v>
      </c>
    </row>
    <row r="77" spans="1:7" ht="15" customHeight="1" x14ac:dyDescent="0.2">
      <c r="A77" s="32"/>
      <c r="B77" s="27"/>
      <c r="C77" s="27"/>
      <c r="D77" s="30"/>
      <c r="E77" s="34"/>
      <c r="F77" s="18"/>
      <c r="G77" s="8" t="s">
        <v>294</v>
      </c>
    </row>
    <row r="78" spans="1:7" ht="15" customHeight="1" x14ac:dyDescent="0.2">
      <c r="A78" s="32"/>
      <c r="B78" s="27"/>
      <c r="C78" s="27"/>
      <c r="D78" s="30"/>
      <c r="E78" s="34"/>
      <c r="F78" s="18"/>
      <c r="G78" s="8" t="s">
        <v>293</v>
      </c>
    </row>
    <row r="79" spans="1:7" ht="15" customHeight="1" x14ac:dyDescent="0.2">
      <c r="A79" s="32"/>
      <c r="B79" s="27"/>
      <c r="C79" s="27"/>
      <c r="D79" s="30"/>
      <c r="E79" s="34"/>
      <c r="F79" s="18"/>
      <c r="G79" s="8" t="s">
        <v>292</v>
      </c>
    </row>
    <row r="80" spans="1:7" ht="15" customHeight="1" x14ac:dyDescent="0.2">
      <c r="A80" s="32"/>
      <c r="B80" s="27"/>
      <c r="C80" s="28"/>
      <c r="D80" s="30"/>
      <c r="E80" s="35"/>
      <c r="F80" s="19"/>
      <c r="G80" s="8" t="s">
        <v>291</v>
      </c>
    </row>
  </sheetData>
  <mergeCells count="21">
    <mergeCell ref="C58:C80"/>
    <mergeCell ref="D58:D80"/>
    <mergeCell ref="A3:A80"/>
    <mergeCell ref="B3:B80"/>
    <mergeCell ref="E25:E26"/>
    <mergeCell ref="C3:C57"/>
    <mergeCell ref="E14:E17"/>
    <mergeCell ref="E4:E13"/>
    <mergeCell ref="E18:E23"/>
    <mergeCell ref="E68:E80"/>
    <mergeCell ref="E58:E67"/>
    <mergeCell ref="D4:D23"/>
    <mergeCell ref="F76:F80"/>
    <mergeCell ref="F68:F75"/>
    <mergeCell ref="F28:F32"/>
    <mergeCell ref="F33:F42"/>
    <mergeCell ref="E28:E42"/>
    <mergeCell ref="E43:E57"/>
    <mergeCell ref="F43:F47"/>
    <mergeCell ref="F48:F57"/>
    <mergeCell ref="D25:D57"/>
  </mergeCells>
  <pageMargins left="0.7" right="0.7" top="0.75" bottom="0.75" header="0.3" footer="0.3"/>
  <pageSetup paperSize="9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L272"/>
  <sheetViews>
    <sheetView topLeftCell="D2" workbookViewId="0">
      <selection activeCell="G2" sqref="G2:G236"/>
    </sheetView>
  </sheetViews>
  <sheetFormatPr baseColWidth="10" defaultColWidth="8.83203125" defaultRowHeight="15" x14ac:dyDescent="0.2"/>
  <cols>
    <col min="1" max="1" width="23.5" customWidth="1"/>
    <col min="2" max="2" width="31.1640625" customWidth="1"/>
    <col min="3" max="3" width="53.6640625" customWidth="1"/>
    <col min="4" max="4" width="36.6640625" customWidth="1"/>
    <col min="5" max="5" width="40.6640625" customWidth="1"/>
    <col min="6" max="7" width="42.1640625" customWidth="1"/>
    <col min="12" max="12" width="81.83203125" customWidth="1"/>
  </cols>
  <sheetData>
    <row r="1" spans="1:12" x14ac:dyDescent="0.2">
      <c r="A1" s="36" t="s">
        <v>1</v>
      </c>
      <c r="B1" s="36" t="s">
        <v>2</v>
      </c>
      <c r="D1" s="37"/>
    </row>
    <row r="2" spans="1:12" x14ac:dyDescent="0.2">
      <c r="A2" s="36"/>
      <c r="B2" s="36"/>
      <c r="C2" s="42"/>
      <c r="D2" s="37"/>
      <c r="G2" t="s">
        <v>378</v>
      </c>
      <c r="L2" s="10" t="s">
        <v>371</v>
      </c>
    </row>
    <row r="3" spans="1:12" x14ac:dyDescent="0.2">
      <c r="A3" s="36"/>
      <c r="B3" s="36"/>
      <c r="C3" s="42" t="s">
        <v>3</v>
      </c>
      <c r="D3" s="37" t="s">
        <v>5</v>
      </c>
      <c r="E3" t="s">
        <v>290</v>
      </c>
      <c r="F3" t="s">
        <v>290</v>
      </c>
      <c r="G3" t="str">
        <f>F3</f>
        <v>Transformador de Serviço Auxiliar</v>
      </c>
    </row>
    <row r="4" spans="1:12" x14ac:dyDescent="0.2">
      <c r="A4" s="36"/>
      <c r="B4" s="36"/>
      <c r="C4" s="42"/>
      <c r="D4" s="37"/>
      <c r="E4" t="s">
        <v>372</v>
      </c>
      <c r="F4" t="s">
        <v>372</v>
      </c>
      <c r="G4" t="str">
        <f>F4</f>
        <v>Pára-Raios</v>
      </c>
    </row>
    <row r="5" spans="1:12" x14ac:dyDescent="0.2">
      <c r="A5" s="36"/>
      <c r="B5" s="36"/>
      <c r="C5" s="42"/>
      <c r="D5" s="37"/>
      <c r="E5" t="s">
        <v>373</v>
      </c>
      <c r="F5" t="s">
        <v>373</v>
      </c>
      <c r="G5" t="s">
        <v>373</v>
      </c>
    </row>
    <row r="6" spans="1:12" x14ac:dyDescent="0.2">
      <c r="A6" s="36"/>
      <c r="B6" s="36"/>
      <c r="C6" s="42"/>
      <c r="D6" s="37" t="s">
        <v>6</v>
      </c>
      <c r="E6" t="s">
        <v>7</v>
      </c>
      <c r="F6" t="s">
        <v>7</v>
      </c>
      <c r="G6" t="s">
        <v>373</v>
      </c>
    </row>
    <row r="7" spans="1:12" x14ac:dyDescent="0.2">
      <c r="A7" s="36"/>
      <c r="B7" s="36"/>
      <c r="C7" s="42"/>
      <c r="D7" s="37"/>
      <c r="E7" t="s">
        <v>8</v>
      </c>
      <c r="F7" t="s">
        <v>8</v>
      </c>
      <c r="G7" t="s">
        <v>373</v>
      </c>
    </row>
    <row r="8" spans="1:12" x14ac:dyDescent="0.2">
      <c r="A8" s="36"/>
      <c r="B8" s="36"/>
      <c r="C8" s="42"/>
      <c r="D8" s="37"/>
      <c r="E8" t="s">
        <v>9</v>
      </c>
      <c r="F8" t="s">
        <v>9</v>
      </c>
      <c r="G8" t="s">
        <v>375</v>
      </c>
    </row>
    <row r="9" spans="1:12" x14ac:dyDescent="0.2">
      <c r="A9" s="36"/>
      <c r="B9" s="36"/>
      <c r="C9" s="42"/>
      <c r="D9" s="37"/>
      <c r="E9" t="s">
        <v>10</v>
      </c>
      <c r="F9" t="s">
        <v>10</v>
      </c>
      <c r="G9" t="s">
        <v>376</v>
      </c>
    </row>
    <row r="10" spans="1:12" x14ac:dyDescent="0.2">
      <c r="A10" s="36"/>
      <c r="B10" s="36"/>
      <c r="C10" s="42"/>
      <c r="D10" s="37"/>
      <c r="E10" t="s">
        <v>11</v>
      </c>
      <c r="F10" t="s">
        <v>11</v>
      </c>
      <c r="G10" t="s">
        <v>376</v>
      </c>
    </row>
    <row r="11" spans="1:12" x14ac:dyDescent="0.2">
      <c r="A11" s="36"/>
      <c r="B11" s="36"/>
      <c r="C11" s="42"/>
      <c r="D11" s="37"/>
      <c r="E11" t="s">
        <v>12</v>
      </c>
      <c r="F11" t="s">
        <v>12</v>
      </c>
      <c r="G11" t="s">
        <v>376</v>
      </c>
    </row>
    <row r="12" spans="1:12" x14ac:dyDescent="0.2">
      <c r="A12" s="36"/>
      <c r="B12" s="36"/>
      <c r="C12" s="42"/>
      <c r="D12" s="37"/>
      <c r="E12" t="s">
        <v>13</v>
      </c>
      <c r="F12" t="s">
        <v>13</v>
      </c>
      <c r="G12" s="43" t="s">
        <v>372</v>
      </c>
    </row>
    <row r="13" spans="1:12" x14ac:dyDescent="0.2">
      <c r="A13" s="36"/>
      <c r="B13" s="36"/>
      <c r="C13" s="42"/>
      <c r="D13" s="37"/>
      <c r="E13" t="s">
        <v>14</v>
      </c>
      <c r="F13" t="s">
        <v>14</v>
      </c>
      <c r="G13" s="43" t="s">
        <v>372</v>
      </c>
    </row>
    <row r="14" spans="1:12" x14ac:dyDescent="0.2">
      <c r="A14" s="36"/>
      <c r="B14" s="36"/>
      <c r="C14" s="42"/>
      <c r="D14" s="37"/>
      <c r="E14" t="s">
        <v>15</v>
      </c>
      <c r="F14" t="s">
        <v>15</v>
      </c>
      <c r="G14" s="43" t="s">
        <v>372</v>
      </c>
    </row>
    <row r="15" spans="1:12" x14ac:dyDescent="0.2">
      <c r="A15" s="36"/>
      <c r="B15" s="36"/>
      <c r="C15" s="42"/>
      <c r="D15" s="36" t="s">
        <v>16</v>
      </c>
      <c r="E15" s="37" t="s">
        <v>17</v>
      </c>
      <c r="F15" t="s">
        <v>18</v>
      </c>
      <c r="G15" s="43" t="s">
        <v>372</v>
      </c>
    </row>
    <row r="16" spans="1:12" x14ac:dyDescent="0.2">
      <c r="A16" s="36"/>
      <c r="B16" s="36"/>
      <c r="C16" s="42"/>
      <c r="D16" s="36"/>
      <c r="E16" s="37"/>
      <c r="F16" t="s">
        <v>19</v>
      </c>
      <c r="G16" s="43" t="s">
        <v>372</v>
      </c>
    </row>
    <row r="17" spans="1:7" x14ac:dyDescent="0.2">
      <c r="A17" s="36"/>
      <c r="B17" s="36"/>
      <c r="C17" s="42"/>
      <c r="D17" s="36"/>
      <c r="E17" s="37"/>
      <c r="F17" t="s">
        <v>20</v>
      </c>
      <c r="G17" s="43" t="s">
        <v>372</v>
      </c>
    </row>
    <row r="18" spans="1:7" x14ac:dyDescent="0.2">
      <c r="A18" s="36"/>
      <c r="B18" s="36"/>
      <c r="C18" s="42"/>
      <c r="D18" s="36"/>
      <c r="E18" s="37"/>
      <c r="F18" t="s">
        <v>21</v>
      </c>
      <c r="G18" t="s">
        <v>376</v>
      </c>
    </row>
    <row r="19" spans="1:7" x14ac:dyDescent="0.2">
      <c r="A19" s="36"/>
      <c r="B19" s="36"/>
      <c r="C19" s="42"/>
      <c r="D19" s="36"/>
      <c r="E19" s="37"/>
      <c r="F19" t="s">
        <v>22</v>
      </c>
      <c r="G19" t="s">
        <v>376</v>
      </c>
    </row>
    <row r="20" spans="1:7" x14ac:dyDescent="0.2">
      <c r="A20" s="36"/>
      <c r="B20" s="36"/>
      <c r="C20" s="42"/>
      <c r="D20" s="36"/>
      <c r="E20" s="37"/>
      <c r="F20" t="s">
        <v>23</v>
      </c>
      <c r="G20" t="s">
        <v>376</v>
      </c>
    </row>
    <row r="21" spans="1:7" x14ac:dyDescent="0.2">
      <c r="A21" s="36"/>
      <c r="B21" s="36"/>
      <c r="C21" s="42"/>
      <c r="D21" s="36"/>
      <c r="E21" s="37"/>
      <c r="F21" t="s">
        <v>24</v>
      </c>
      <c r="G21" t="s">
        <v>377</v>
      </c>
    </row>
    <row r="22" spans="1:7" x14ac:dyDescent="0.2">
      <c r="A22" s="36"/>
      <c r="B22" s="36"/>
      <c r="C22" s="42"/>
      <c r="D22" s="36"/>
      <c r="E22" s="37"/>
      <c r="F22" t="s">
        <v>25</v>
      </c>
      <c r="G22" t="s">
        <v>373</v>
      </c>
    </row>
    <row r="23" spans="1:7" x14ac:dyDescent="0.2">
      <c r="A23" s="36"/>
      <c r="B23" s="36"/>
      <c r="C23" s="42"/>
      <c r="D23" s="36"/>
      <c r="E23" s="37" t="s">
        <v>26</v>
      </c>
      <c r="F23" t="s">
        <v>27</v>
      </c>
      <c r="G23" s="43" t="s">
        <v>372</v>
      </c>
    </row>
    <row r="24" spans="1:7" x14ac:dyDescent="0.2">
      <c r="A24" s="36"/>
      <c r="B24" s="36"/>
      <c r="C24" s="42"/>
      <c r="D24" s="36"/>
      <c r="E24" s="37"/>
      <c r="F24" t="s">
        <v>28</v>
      </c>
      <c r="G24" s="43" t="s">
        <v>372</v>
      </c>
    </row>
    <row r="25" spans="1:7" x14ac:dyDescent="0.2">
      <c r="A25" s="36"/>
      <c r="B25" s="36"/>
      <c r="C25" s="42"/>
      <c r="D25" s="36"/>
      <c r="E25" s="37"/>
      <c r="F25" t="s">
        <v>29</v>
      </c>
      <c r="G25" s="43" t="s">
        <v>372</v>
      </c>
    </row>
    <row r="26" spans="1:7" x14ac:dyDescent="0.2">
      <c r="A26" s="36"/>
      <c r="B26" s="36"/>
      <c r="C26" s="42"/>
      <c r="D26" s="36"/>
      <c r="E26" s="37"/>
      <c r="F26" t="s">
        <v>30</v>
      </c>
      <c r="G26" t="s">
        <v>376</v>
      </c>
    </row>
    <row r="27" spans="1:7" x14ac:dyDescent="0.2">
      <c r="A27" s="36"/>
      <c r="B27" s="36"/>
      <c r="C27" s="42"/>
      <c r="D27" s="36"/>
      <c r="E27" s="37"/>
      <c r="F27" t="s">
        <v>31</v>
      </c>
      <c r="G27" t="s">
        <v>376</v>
      </c>
    </row>
    <row r="28" spans="1:7" x14ac:dyDescent="0.2">
      <c r="A28" s="36"/>
      <c r="B28" s="36"/>
      <c r="C28" s="42"/>
      <c r="D28" s="36"/>
      <c r="E28" s="37"/>
      <c r="F28" t="s">
        <v>32</v>
      </c>
      <c r="G28" t="s">
        <v>376</v>
      </c>
    </row>
    <row r="29" spans="1:7" x14ac:dyDescent="0.2">
      <c r="A29" s="36"/>
      <c r="B29" s="36"/>
      <c r="C29" s="42"/>
      <c r="D29" s="36"/>
      <c r="E29" s="37"/>
      <c r="F29" t="s">
        <v>33</v>
      </c>
      <c r="G29" t="s">
        <v>377</v>
      </c>
    </row>
    <row r="30" spans="1:7" x14ac:dyDescent="0.2">
      <c r="A30" s="36"/>
      <c r="B30" s="36"/>
      <c r="C30" s="42"/>
      <c r="D30" s="36"/>
      <c r="E30" s="37"/>
      <c r="F30" t="s">
        <v>34</v>
      </c>
      <c r="G30" t="s">
        <v>373</v>
      </c>
    </row>
    <row r="31" spans="1:7" x14ac:dyDescent="0.2">
      <c r="A31" s="36"/>
      <c r="B31" s="36"/>
      <c r="C31" s="42"/>
      <c r="D31" s="36"/>
      <c r="E31" s="38" t="s">
        <v>35</v>
      </c>
      <c r="F31" t="s">
        <v>36</v>
      </c>
      <c r="G31" t="s">
        <v>376</v>
      </c>
    </row>
    <row r="32" spans="1:7" x14ac:dyDescent="0.2">
      <c r="A32" s="36"/>
      <c r="B32" s="36"/>
      <c r="C32" s="42"/>
      <c r="D32" s="36"/>
      <c r="E32" s="38"/>
      <c r="F32" t="s">
        <v>37</v>
      </c>
      <c r="G32" t="s">
        <v>376</v>
      </c>
    </row>
    <row r="33" spans="1:7" x14ac:dyDescent="0.2">
      <c r="A33" s="36"/>
      <c r="B33" s="36"/>
      <c r="C33" s="42"/>
      <c r="D33" s="36"/>
      <c r="E33" s="38"/>
      <c r="F33" t="s">
        <v>38</v>
      </c>
      <c r="G33" t="s">
        <v>376</v>
      </c>
    </row>
    <row r="34" spans="1:7" x14ac:dyDescent="0.2">
      <c r="A34" s="36"/>
      <c r="B34" s="36"/>
      <c r="C34" s="42"/>
      <c r="D34" s="36"/>
      <c r="E34" s="38"/>
      <c r="F34" t="s">
        <v>39</v>
      </c>
      <c r="G34" t="s">
        <v>373</v>
      </c>
    </row>
    <row r="35" spans="1:7" x14ac:dyDescent="0.2">
      <c r="A35" s="36"/>
      <c r="B35" s="36"/>
      <c r="C35" s="42"/>
      <c r="D35" s="36" t="s">
        <v>40</v>
      </c>
      <c r="E35" s="37" t="s">
        <v>17</v>
      </c>
      <c r="F35" t="s">
        <v>41</v>
      </c>
      <c r="G35" s="43" t="s">
        <v>372</v>
      </c>
    </row>
    <row r="36" spans="1:7" x14ac:dyDescent="0.2">
      <c r="A36" s="36"/>
      <c r="B36" s="36"/>
      <c r="C36" s="42"/>
      <c r="D36" s="36"/>
      <c r="E36" s="37"/>
      <c r="F36" t="s">
        <v>42</v>
      </c>
      <c r="G36" s="43" t="s">
        <v>372</v>
      </c>
    </row>
    <row r="37" spans="1:7" x14ac:dyDescent="0.2">
      <c r="A37" s="36"/>
      <c r="B37" s="36"/>
      <c r="C37" s="42"/>
      <c r="D37" s="36"/>
      <c r="E37" s="37"/>
      <c r="F37" t="s">
        <v>43</v>
      </c>
      <c r="G37" s="43" t="s">
        <v>372</v>
      </c>
    </row>
    <row r="38" spans="1:7" x14ac:dyDescent="0.2">
      <c r="A38" s="36"/>
      <c r="B38" s="36"/>
      <c r="C38" s="42"/>
      <c r="D38" s="36"/>
      <c r="E38" s="37"/>
      <c r="F38" t="s">
        <v>44</v>
      </c>
      <c r="G38" t="s">
        <v>376</v>
      </c>
    </row>
    <row r="39" spans="1:7" x14ac:dyDescent="0.2">
      <c r="A39" s="36"/>
      <c r="B39" s="36"/>
      <c r="C39" s="42"/>
      <c r="D39" s="36"/>
      <c r="E39" s="37"/>
      <c r="F39" t="s">
        <v>45</v>
      </c>
      <c r="G39" t="s">
        <v>376</v>
      </c>
    </row>
    <row r="40" spans="1:7" x14ac:dyDescent="0.2">
      <c r="A40" s="36"/>
      <c r="B40" s="36"/>
      <c r="C40" s="42"/>
      <c r="D40" s="36"/>
      <c r="E40" s="37"/>
      <c r="F40" t="s">
        <v>46</v>
      </c>
      <c r="G40" t="s">
        <v>376</v>
      </c>
    </row>
    <row r="41" spans="1:7" x14ac:dyDescent="0.2">
      <c r="A41" s="36"/>
      <c r="B41" s="36"/>
      <c r="C41" s="42"/>
      <c r="D41" s="36"/>
      <c r="E41" s="37"/>
      <c r="F41" t="s">
        <v>47</v>
      </c>
      <c r="G41" t="s">
        <v>377</v>
      </c>
    </row>
    <row r="42" spans="1:7" x14ac:dyDescent="0.2">
      <c r="A42" s="36"/>
      <c r="B42" s="36"/>
      <c r="C42" s="42"/>
      <c r="D42" s="36"/>
      <c r="E42" s="37"/>
      <c r="F42" t="s">
        <v>48</v>
      </c>
      <c r="G42" t="s">
        <v>373</v>
      </c>
    </row>
    <row r="43" spans="1:7" x14ac:dyDescent="0.2">
      <c r="A43" s="36"/>
      <c r="B43" s="36"/>
      <c r="C43" s="42"/>
      <c r="D43" s="36"/>
      <c r="E43" s="37" t="s">
        <v>26</v>
      </c>
      <c r="F43" t="s">
        <v>49</v>
      </c>
      <c r="G43" s="43" t="s">
        <v>372</v>
      </c>
    </row>
    <row r="44" spans="1:7" x14ac:dyDescent="0.2">
      <c r="A44" s="36"/>
      <c r="B44" s="36"/>
      <c r="C44" s="42"/>
      <c r="D44" s="36"/>
      <c r="E44" s="37"/>
      <c r="F44" t="s">
        <v>50</v>
      </c>
      <c r="G44" s="43" t="s">
        <v>372</v>
      </c>
    </row>
    <row r="45" spans="1:7" x14ac:dyDescent="0.2">
      <c r="A45" s="36"/>
      <c r="B45" s="36"/>
      <c r="C45" s="42"/>
      <c r="D45" s="36"/>
      <c r="E45" s="37"/>
      <c r="F45" t="s">
        <v>51</v>
      </c>
      <c r="G45" s="43" t="s">
        <v>372</v>
      </c>
    </row>
    <row r="46" spans="1:7" x14ac:dyDescent="0.2">
      <c r="A46" s="36"/>
      <c r="B46" s="36"/>
      <c r="C46" s="42"/>
      <c r="D46" s="36"/>
      <c r="E46" s="37"/>
      <c r="F46" t="s">
        <v>52</v>
      </c>
      <c r="G46" t="s">
        <v>376</v>
      </c>
    </row>
    <row r="47" spans="1:7" x14ac:dyDescent="0.2">
      <c r="A47" s="36"/>
      <c r="B47" s="36"/>
      <c r="C47" s="42"/>
      <c r="D47" s="36"/>
      <c r="E47" s="37"/>
      <c r="F47" t="s">
        <v>53</v>
      </c>
      <c r="G47" t="s">
        <v>376</v>
      </c>
    </row>
    <row r="48" spans="1:7" x14ac:dyDescent="0.2">
      <c r="A48" s="36"/>
      <c r="B48" s="36"/>
      <c r="C48" s="42"/>
      <c r="D48" s="36"/>
      <c r="E48" s="37"/>
      <c r="F48" t="s">
        <v>54</v>
      </c>
      <c r="G48" t="s">
        <v>376</v>
      </c>
    </row>
    <row r="49" spans="1:7" x14ac:dyDescent="0.2">
      <c r="A49" s="36"/>
      <c r="B49" s="36"/>
      <c r="C49" s="42"/>
      <c r="D49" s="36"/>
      <c r="E49" s="37"/>
      <c r="F49" t="s">
        <v>55</v>
      </c>
      <c r="G49" t="s">
        <v>377</v>
      </c>
    </row>
    <row r="50" spans="1:7" x14ac:dyDescent="0.2">
      <c r="A50" s="36"/>
      <c r="B50" s="36"/>
      <c r="C50" s="42"/>
      <c r="D50" s="36"/>
      <c r="E50" s="37"/>
      <c r="F50" t="s">
        <v>56</v>
      </c>
      <c r="G50" t="s">
        <v>373</v>
      </c>
    </row>
    <row r="51" spans="1:7" x14ac:dyDescent="0.2">
      <c r="A51" s="36"/>
      <c r="B51" s="36"/>
      <c r="C51" s="42"/>
      <c r="D51" s="36"/>
      <c r="E51" s="38" t="s">
        <v>35</v>
      </c>
      <c r="F51" t="s">
        <v>57</v>
      </c>
      <c r="G51" t="s">
        <v>376</v>
      </c>
    </row>
    <row r="52" spans="1:7" x14ac:dyDescent="0.2">
      <c r="A52" s="36"/>
      <c r="B52" s="36"/>
      <c r="C52" s="42"/>
      <c r="D52" s="36"/>
      <c r="E52" s="38"/>
      <c r="F52" t="s">
        <v>58</v>
      </c>
      <c r="G52" t="s">
        <v>376</v>
      </c>
    </row>
    <row r="53" spans="1:7" x14ac:dyDescent="0.2">
      <c r="A53" s="36"/>
      <c r="B53" s="36"/>
      <c r="C53" s="42"/>
      <c r="D53" s="36"/>
      <c r="E53" s="38"/>
      <c r="F53" t="s">
        <v>59</v>
      </c>
      <c r="G53" t="s">
        <v>376</v>
      </c>
    </row>
    <row r="54" spans="1:7" x14ac:dyDescent="0.2">
      <c r="A54" s="36"/>
      <c r="B54" s="36"/>
      <c r="C54" s="42"/>
      <c r="D54" s="36"/>
      <c r="E54" s="38"/>
      <c r="F54" t="s">
        <v>60</v>
      </c>
      <c r="G54" t="s">
        <v>373</v>
      </c>
    </row>
    <row r="55" spans="1:7" x14ac:dyDescent="0.2">
      <c r="A55" s="36"/>
      <c r="B55" s="36"/>
      <c r="C55" s="42"/>
      <c r="D55" s="36" t="s">
        <v>61</v>
      </c>
      <c r="E55" s="37" t="s">
        <v>17</v>
      </c>
      <c r="F55" t="s">
        <v>62</v>
      </c>
      <c r="G55" s="43" t="s">
        <v>372</v>
      </c>
    </row>
    <row r="56" spans="1:7" x14ac:dyDescent="0.2">
      <c r="A56" s="36"/>
      <c r="B56" s="36"/>
      <c r="C56" s="42"/>
      <c r="D56" s="36"/>
      <c r="E56" s="37"/>
      <c r="F56" t="s">
        <v>63</v>
      </c>
      <c r="G56" s="43" t="s">
        <v>372</v>
      </c>
    </row>
    <row r="57" spans="1:7" x14ac:dyDescent="0.2">
      <c r="A57" s="36"/>
      <c r="B57" s="36"/>
      <c r="C57" s="42"/>
      <c r="D57" s="36"/>
      <c r="E57" s="37"/>
      <c r="F57" t="s">
        <v>64</v>
      </c>
      <c r="G57" s="43" t="s">
        <v>372</v>
      </c>
    </row>
    <row r="58" spans="1:7" x14ac:dyDescent="0.2">
      <c r="A58" s="36"/>
      <c r="B58" s="36"/>
      <c r="C58" s="42"/>
      <c r="D58" s="36"/>
      <c r="E58" s="37"/>
      <c r="F58" t="s">
        <v>65</v>
      </c>
      <c r="G58" t="s">
        <v>376</v>
      </c>
    </row>
    <row r="59" spans="1:7" x14ac:dyDescent="0.2">
      <c r="A59" s="36"/>
      <c r="B59" s="36"/>
      <c r="C59" s="42"/>
      <c r="D59" s="36"/>
      <c r="E59" s="37"/>
      <c r="F59" t="s">
        <v>66</v>
      </c>
      <c r="G59" t="s">
        <v>376</v>
      </c>
    </row>
    <row r="60" spans="1:7" x14ac:dyDescent="0.2">
      <c r="A60" s="36"/>
      <c r="B60" s="36"/>
      <c r="C60" s="42"/>
      <c r="D60" s="36"/>
      <c r="E60" s="37"/>
      <c r="F60" t="s">
        <v>67</v>
      </c>
      <c r="G60" t="s">
        <v>376</v>
      </c>
    </row>
    <row r="61" spans="1:7" x14ac:dyDescent="0.2">
      <c r="A61" s="36"/>
      <c r="B61" s="36"/>
      <c r="C61" s="42"/>
      <c r="D61" s="36"/>
      <c r="E61" s="37"/>
      <c r="F61" t="s">
        <v>68</v>
      </c>
      <c r="G61" t="s">
        <v>377</v>
      </c>
    </row>
    <row r="62" spans="1:7" x14ac:dyDescent="0.2">
      <c r="A62" s="36"/>
      <c r="B62" s="36"/>
      <c r="C62" s="42"/>
      <c r="D62" s="36"/>
      <c r="E62" s="37"/>
      <c r="F62" t="s">
        <v>69</v>
      </c>
      <c r="G62" t="s">
        <v>373</v>
      </c>
    </row>
    <row r="63" spans="1:7" x14ac:dyDescent="0.2">
      <c r="A63" s="36"/>
      <c r="B63" s="36"/>
      <c r="C63" s="42"/>
      <c r="D63" s="36"/>
      <c r="E63" s="37" t="s">
        <v>26</v>
      </c>
      <c r="F63" t="s">
        <v>70</v>
      </c>
      <c r="G63" s="43" t="s">
        <v>372</v>
      </c>
    </row>
    <row r="64" spans="1:7" x14ac:dyDescent="0.2">
      <c r="A64" s="36"/>
      <c r="B64" s="36"/>
      <c r="C64" s="42"/>
      <c r="D64" s="36"/>
      <c r="E64" s="37"/>
      <c r="F64" t="s">
        <v>71</v>
      </c>
      <c r="G64" s="43" t="s">
        <v>372</v>
      </c>
    </row>
    <row r="65" spans="1:7" x14ac:dyDescent="0.2">
      <c r="A65" s="36"/>
      <c r="B65" s="36"/>
      <c r="C65" s="42"/>
      <c r="D65" s="36"/>
      <c r="E65" s="37"/>
      <c r="F65" t="s">
        <v>72</v>
      </c>
      <c r="G65" s="43" t="s">
        <v>372</v>
      </c>
    </row>
    <row r="66" spans="1:7" x14ac:dyDescent="0.2">
      <c r="A66" s="36"/>
      <c r="B66" s="36"/>
      <c r="C66" s="42"/>
      <c r="D66" s="36"/>
      <c r="E66" s="37"/>
      <c r="F66" t="s">
        <v>73</v>
      </c>
      <c r="G66" t="s">
        <v>376</v>
      </c>
    </row>
    <row r="67" spans="1:7" x14ac:dyDescent="0.2">
      <c r="A67" s="36"/>
      <c r="B67" s="36"/>
      <c r="C67" s="42"/>
      <c r="D67" s="36"/>
      <c r="E67" s="37"/>
      <c r="F67" t="s">
        <v>74</v>
      </c>
      <c r="G67" t="s">
        <v>376</v>
      </c>
    </row>
    <row r="68" spans="1:7" x14ac:dyDescent="0.2">
      <c r="A68" s="36"/>
      <c r="B68" s="36"/>
      <c r="C68" s="42"/>
      <c r="D68" s="36"/>
      <c r="E68" s="37"/>
      <c r="F68" t="s">
        <v>75</v>
      </c>
      <c r="G68" t="s">
        <v>376</v>
      </c>
    </row>
    <row r="69" spans="1:7" x14ac:dyDescent="0.2">
      <c r="A69" s="36"/>
      <c r="B69" s="36"/>
      <c r="C69" s="42"/>
      <c r="D69" s="36"/>
      <c r="E69" s="37"/>
      <c r="F69" t="s">
        <v>76</v>
      </c>
      <c r="G69" t="s">
        <v>377</v>
      </c>
    </row>
    <row r="70" spans="1:7" x14ac:dyDescent="0.2">
      <c r="A70" s="36"/>
      <c r="B70" s="36"/>
      <c r="C70" s="42"/>
      <c r="D70" s="36"/>
      <c r="E70" s="37"/>
      <c r="F70" t="s">
        <v>77</v>
      </c>
      <c r="G70" t="s">
        <v>373</v>
      </c>
    </row>
    <row r="71" spans="1:7" x14ac:dyDescent="0.2">
      <c r="A71" s="36"/>
      <c r="B71" s="36"/>
      <c r="C71" s="42"/>
      <c r="D71" s="36"/>
      <c r="E71" s="38" t="s">
        <v>35</v>
      </c>
      <c r="F71" t="s">
        <v>78</v>
      </c>
      <c r="G71" t="s">
        <v>376</v>
      </c>
    </row>
    <row r="72" spans="1:7" x14ac:dyDescent="0.2">
      <c r="A72" s="36"/>
      <c r="B72" s="36"/>
      <c r="C72" s="42"/>
      <c r="D72" s="36"/>
      <c r="E72" s="38"/>
      <c r="F72" t="s">
        <v>79</v>
      </c>
      <c r="G72" t="s">
        <v>376</v>
      </c>
    </row>
    <row r="73" spans="1:7" x14ac:dyDescent="0.2">
      <c r="A73" s="36"/>
      <c r="B73" s="36"/>
      <c r="C73" s="42"/>
      <c r="D73" s="36"/>
      <c r="E73" s="38"/>
      <c r="F73" t="s">
        <v>80</v>
      </c>
      <c r="G73" t="s">
        <v>376</v>
      </c>
    </row>
    <row r="74" spans="1:7" x14ac:dyDescent="0.2">
      <c r="A74" s="36"/>
      <c r="B74" s="36"/>
      <c r="C74" s="42"/>
      <c r="D74" s="36"/>
      <c r="E74" s="38"/>
      <c r="F74" t="s">
        <v>81</v>
      </c>
      <c r="G74" t="s">
        <v>373</v>
      </c>
    </row>
    <row r="75" spans="1:7" x14ac:dyDescent="0.2">
      <c r="A75" s="36"/>
      <c r="B75" s="36"/>
      <c r="C75" s="42"/>
      <c r="D75" s="36" t="s">
        <v>82</v>
      </c>
      <c r="E75" s="37" t="s">
        <v>17</v>
      </c>
      <c r="F75" t="s">
        <v>83</v>
      </c>
      <c r="G75" s="43" t="s">
        <v>372</v>
      </c>
    </row>
    <row r="76" spans="1:7" x14ac:dyDescent="0.2">
      <c r="A76" s="36"/>
      <c r="B76" s="36"/>
      <c r="C76" s="42"/>
      <c r="D76" s="36"/>
      <c r="E76" s="37"/>
      <c r="F76" t="s">
        <v>84</v>
      </c>
      <c r="G76" s="43" t="s">
        <v>372</v>
      </c>
    </row>
    <row r="77" spans="1:7" x14ac:dyDescent="0.2">
      <c r="A77" s="36"/>
      <c r="B77" s="36"/>
      <c r="C77" s="42"/>
      <c r="D77" s="36"/>
      <c r="E77" s="37"/>
      <c r="F77" t="s">
        <v>85</v>
      </c>
      <c r="G77" s="43" t="s">
        <v>372</v>
      </c>
    </row>
    <row r="78" spans="1:7" x14ac:dyDescent="0.2">
      <c r="A78" s="36"/>
      <c r="B78" s="36"/>
      <c r="C78" s="42"/>
      <c r="D78" s="36"/>
      <c r="E78" s="37"/>
      <c r="F78" t="s">
        <v>86</v>
      </c>
      <c r="G78" t="s">
        <v>376</v>
      </c>
    </row>
    <row r="79" spans="1:7" x14ac:dyDescent="0.2">
      <c r="A79" s="36"/>
      <c r="B79" s="36"/>
      <c r="C79" s="42"/>
      <c r="D79" s="36"/>
      <c r="E79" s="37"/>
      <c r="F79" t="s">
        <v>87</v>
      </c>
      <c r="G79" t="s">
        <v>376</v>
      </c>
    </row>
    <row r="80" spans="1:7" x14ac:dyDescent="0.2">
      <c r="A80" s="36"/>
      <c r="B80" s="36"/>
      <c r="C80" s="42"/>
      <c r="D80" s="36"/>
      <c r="E80" s="37"/>
      <c r="F80" t="s">
        <v>88</v>
      </c>
      <c r="G80" t="s">
        <v>376</v>
      </c>
    </row>
    <row r="81" spans="1:7" x14ac:dyDescent="0.2">
      <c r="A81" s="36"/>
      <c r="B81" s="36"/>
      <c r="C81" s="42"/>
      <c r="D81" s="36"/>
      <c r="E81" s="37"/>
      <c r="F81" t="s">
        <v>89</v>
      </c>
      <c r="G81" t="s">
        <v>377</v>
      </c>
    </row>
    <row r="82" spans="1:7" x14ac:dyDescent="0.2">
      <c r="A82" s="36"/>
      <c r="B82" s="36"/>
      <c r="C82" s="42"/>
      <c r="D82" s="36"/>
      <c r="E82" s="37"/>
      <c r="F82" t="s">
        <v>90</v>
      </c>
      <c r="G82" t="s">
        <v>373</v>
      </c>
    </row>
    <row r="83" spans="1:7" x14ac:dyDescent="0.2">
      <c r="A83" s="36"/>
      <c r="B83" s="36"/>
      <c r="C83" s="42"/>
      <c r="D83" s="36"/>
      <c r="E83" s="37" t="s">
        <v>26</v>
      </c>
      <c r="F83" t="s">
        <v>91</v>
      </c>
      <c r="G83" s="43" t="s">
        <v>372</v>
      </c>
    </row>
    <row r="84" spans="1:7" x14ac:dyDescent="0.2">
      <c r="A84" s="36"/>
      <c r="B84" s="36"/>
      <c r="C84" s="42"/>
      <c r="D84" s="36"/>
      <c r="E84" s="37"/>
      <c r="F84" t="s">
        <v>92</v>
      </c>
      <c r="G84" s="43" t="s">
        <v>372</v>
      </c>
    </row>
    <row r="85" spans="1:7" x14ac:dyDescent="0.2">
      <c r="A85" s="36"/>
      <c r="B85" s="36"/>
      <c r="C85" s="42"/>
      <c r="D85" s="36"/>
      <c r="E85" s="37"/>
      <c r="F85" t="s">
        <v>93</v>
      </c>
      <c r="G85" s="43" t="s">
        <v>372</v>
      </c>
    </row>
    <row r="86" spans="1:7" x14ac:dyDescent="0.2">
      <c r="A86" s="36"/>
      <c r="B86" s="36"/>
      <c r="C86" s="42"/>
      <c r="D86" s="36"/>
      <c r="E86" s="37"/>
      <c r="F86" t="s">
        <v>94</v>
      </c>
      <c r="G86" t="s">
        <v>376</v>
      </c>
    </row>
    <row r="87" spans="1:7" x14ac:dyDescent="0.2">
      <c r="A87" s="36"/>
      <c r="B87" s="36"/>
      <c r="C87" s="42"/>
      <c r="D87" s="36"/>
      <c r="E87" s="37"/>
      <c r="F87" t="s">
        <v>95</v>
      </c>
      <c r="G87" t="s">
        <v>376</v>
      </c>
    </row>
    <row r="88" spans="1:7" x14ac:dyDescent="0.2">
      <c r="A88" s="36"/>
      <c r="B88" s="36"/>
      <c r="C88" s="42"/>
      <c r="D88" s="36"/>
      <c r="E88" s="37"/>
      <c r="F88" t="s">
        <v>96</v>
      </c>
      <c r="G88" t="s">
        <v>376</v>
      </c>
    </row>
    <row r="89" spans="1:7" x14ac:dyDescent="0.2">
      <c r="A89" s="36"/>
      <c r="B89" s="36"/>
      <c r="C89" s="42"/>
      <c r="D89" s="36"/>
      <c r="E89" s="37"/>
      <c r="F89" t="s">
        <v>97</v>
      </c>
      <c r="G89" t="s">
        <v>377</v>
      </c>
    </row>
    <row r="90" spans="1:7" x14ac:dyDescent="0.2">
      <c r="A90" s="36"/>
      <c r="B90" s="36"/>
      <c r="C90" s="42"/>
      <c r="D90" s="36"/>
      <c r="E90" s="37"/>
      <c r="F90" t="s">
        <v>98</v>
      </c>
      <c r="G90" t="s">
        <v>373</v>
      </c>
    </row>
    <row r="91" spans="1:7" x14ac:dyDescent="0.2">
      <c r="A91" s="36"/>
      <c r="B91" s="36"/>
      <c r="C91" s="42"/>
      <c r="D91" s="36"/>
      <c r="E91" s="38" t="s">
        <v>35</v>
      </c>
      <c r="F91" t="s">
        <v>99</v>
      </c>
      <c r="G91" t="s">
        <v>376</v>
      </c>
    </row>
    <row r="92" spans="1:7" x14ac:dyDescent="0.2">
      <c r="A92" s="36"/>
      <c r="B92" s="36"/>
      <c r="C92" s="42"/>
      <c r="D92" s="36"/>
      <c r="E92" s="38"/>
      <c r="F92" t="s">
        <v>100</v>
      </c>
      <c r="G92" t="s">
        <v>376</v>
      </c>
    </row>
    <row r="93" spans="1:7" x14ac:dyDescent="0.2">
      <c r="A93" s="36"/>
      <c r="B93" s="36"/>
      <c r="C93" s="42"/>
      <c r="D93" s="36"/>
      <c r="E93" s="38"/>
      <c r="F93" t="s">
        <v>101</v>
      </c>
      <c r="G93" t="s">
        <v>376</v>
      </c>
    </row>
    <row r="94" spans="1:7" x14ac:dyDescent="0.2">
      <c r="A94" s="36"/>
      <c r="B94" s="36"/>
      <c r="C94" s="42"/>
      <c r="D94" s="36"/>
      <c r="E94" s="38"/>
      <c r="F94" t="s">
        <v>102</v>
      </c>
      <c r="G94" t="s">
        <v>373</v>
      </c>
    </row>
    <row r="95" spans="1:7" x14ac:dyDescent="0.2">
      <c r="A95" s="36"/>
      <c r="B95" s="36"/>
      <c r="C95" s="42"/>
      <c r="D95" s="36" t="s">
        <v>103</v>
      </c>
      <c r="E95" s="37" t="s">
        <v>17</v>
      </c>
      <c r="F95" t="s">
        <v>104</v>
      </c>
      <c r="G95" s="43" t="s">
        <v>372</v>
      </c>
    </row>
    <row r="96" spans="1:7" x14ac:dyDescent="0.2">
      <c r="A96" s="36"/>
      <c r="B96" s="36"/>
      <c r="C96" s="42"/>
      <c r="D96" s="36"/>
      <c r="E96" s="37"/>
      <c r="F96" t="s">
        <v>105</v>
      </c>
      <c r="G96" s="43" t="s">
        <v>372</v>
      </c>
    </row>
    <row r="97" spans="1:7" x14ac:dyDescent="0.2">
      <c r="A97" s="36"/>
      <c r="B97" s="36"/>
      <c r="C97" s="42"/>
      <c r="D97" s="36"/>
      <c r="E97" s="37"/>
      <c r="F97" t="s">
        <v>106</v>
      </c>
      <c r="G97" s="43" t="s">
        <v>372</v>
      </c>
    </row>
    <row r="98" spans="1:7" x14ac:dyDescent="0.2">
      <c r="A98" s="36"/>
      <c r="B98" s="36"/>
      <c r="C98" s="42"/>
      <c r="D98" s="36"/>
      <c r="E98" s="37"/>
      <c r="F98" t="s">
        <v>107</v>
      </c>
      <c r="G98" t="s">
        <v>376</v>
      </c>
    </row>
    <row r="99" spans="1:7" x14ac:dyDescent="0.2">
      <c r="A99" s="36"/>
      <c r="B99" s="36"/>
      <c r="C99" s="42"/>
      <c r="D99" s="36"/>
      <c r="E99" s="37"/>
      <c r="F99" t="s">
        <v>108</v>
      </c>
      <c r="G99" t="s">
        <v>376</v>
      </c>
    </row>
    <row r="100" spans="1:7" x14ac:dyDescent="0.2">
      <c r="A100" s="36"/>
      <c r="B100" s="36"/>
      <c r="C100" s="42"/>
      <c r="D100" s="36"/>
      <c r="E100" s="37"/>
      <c r="F100" t="s">
        <v>109</v>
      </c>
      <c r="G100" t="s">
        <v>376</v>
      </c>
    </row>
    <row r="101" spans="1:7" x14ac:dyDescent="0.2">
      <c r="A101" s="36"/>
      <c r="B101" s="36"/>
      <c r="C101" s="42"/>
      <c r="D101" s="36"/>
      <c r="E101" s="37"/>
      <c r="F101" t="s">
        <v>110</v>
      </c>
      <c r="G101" t="s">
        <v>377</v>
      </c>
    </row>
    <row r="102" spans="1:7" x14ac:dyDescent="0.2">
      <c r="A102" s="36"/>
      <c r="B102" s="36"/>
      <c r="C102" s="42"/>
      <c r="D102" s="36"/>
      <c r="E102" s="37"/>
      <c r="F102" t="s">
        <v>111</v>
      </c>
      <c r="G102" t="s">
        <v>373</v>
      </c>
    </row>
    <row r="103" spans="1:7" x14ac:dyDescent="0.2">
      <c r="A103" s="36"/>
      <c r="B103" s="36"/>
      <c r="C103" s="42"/>
      <c r="D103" s="36"/>
      <c r="E103" s="37" t="s">
        <v>26</v>
      </c>
      <c r="F103" t="s">
        <v>112</v>
      </c>
      <c r="G103" s="43" t="s">
        <v>372</v>
      </c>
    </row>
    <row r="104" spans="1:7" x14ac:dyDescent="0.2">
      <c r="A104" s="36"/>
      <c r="B104" s="36"/>
      <c r="C104" s="42"/>
      <c r="D104" s="36"/>
      <c r="E104" s="37"/>
      <c r="F104" t="s">
        <v>113</v>
      </c>
      <c r="G104" s="43" t="s">
        <v>372</v>
      </c>
    </row>
    <row r="105" spans="1:7" x14ac:dyDescent="0.2">
      <c r="A105" s="36"/>
      <c r="B105" s="36"/>
      <c r="C105" s="42"/>
      <c r="D105" s="36"/>
      <c r="E105" s="37"/>
      <c r="F105" t="s">
        <v>114</v>
      </c>
      <c r="G105" s="43" t="s">
        <v>372</v>
      </c>
    </row>
    <row r="106" spans="1:7" x14ac:dyDescent="0.2">
      <c r="A106" s="36"/>
      <c r="B106" s="36"/>
      <c r="C106" s="42"/>
      <c r="D106" s="36"/>
      <c r="E106" s="37"/>
      <c r="F106" t="s">
        <v>115</v>
      </c>
      <c r="G106" t="s">
        <v>376</v>
      </c>
    </row>
    <row r="107" spans="1:7" x14ac:dyDescent="0.2">
      <c r="A107" s="36"/>
      <c r="B107" s="36"/>
      <c r="C107" s="42"/>
      <c r="D107" s="36"/>
      <c r="E107" s="37"/>
      <c r="F107" t="s">
        <v>116</v>
      </c>
      <c r="G107" t="s">
        <v>376</v>
      </c>
    </row>
    <row r="108" spans="1:7" x14ac:dyDescent="0.2">
      <c r="A108" s="36"/>
      <c r="B108" s="36"/>
      <c r="C108" s="42"/>
      <c r="D108" s="36"/>
      <c r="E108" s="37"/>
      <c r="F108" t="s">
        <v>117</v>
      </c>
      <c r="G108" t="s">
        <v>376</v>
      </c>
    </row>
    <row r="109" spans="1:7" x14ac:dyDescent="0.2">
      <c r="A109" s="36"/>
      <c r="B109" s="36"/>
      <c r="C109" s="42"/>
      <c r="D109" s="36"/>
      <c r="E109" s="37"/>
      <c r="F109" t="s">
        <v>118</v>
      </c>
      <c r="G109" t="s">
        <v>377</v>
      </c>
    </row>
    <row r="110" spans="1:7" x14ac:dyDescent="0.2">
      <c r="A110" s="36"/>
      <c r="B110" s="36"/>
      <c r="C110" s="42"/>
      <c r="D110" s="36"/>
      <c r="E110" s="37"/>
      <c r="F110" t="s">
        <v>119</v>
      </c>
      <c r="G110" t="s">
        <v>373</v>
      </c>
    </row>
    <row r="111" spans="1:7" x14ac:dyDescent="0.2">
      <c r="A111" s="36"/>
      <c r="B111" s="36"/>
      <c r="C111" s="42"/>
      <c r="D111" s="36"/>
      <c r="E111" s="38" t="s">
        <v>35</v>
      </c>
      <c r="F111" t="s">
        <v>120</v>
      </c>
      <c r="G111" t="s">
        <v>376</v>
      </c>
    </row>
    <row r="112" spans="1:7" x14ac:dyDescent="0.2">
      <c r="A112" s="36"/>
      <c r="B112" s="36"/>
      <c r="C112" s="42"/>
      <c r="D112" s="36"/>
      <c r="E112" s="38"/>
      <c r="F112" t="s">
        <v>121</v>
      </c>
      <c r="G112" t="s">
        <v>376</v>
      </c>
    </row>
    <row r="113" spans="1:7" x14ac:dyDescent="0.2">
      <c r="A113" s="36"/>
      <c r="B113" s="36"/>
      <c r="C113" s="42"/>
      <c r="D113" s="36"/>
      <c r="E113" s="38"/>
      <c r="F113" t="s">
        <v>122</v>
      </c>
      <c r="G113" t="s">
        <v>376</v>
      </c>
    </row>
    <row r="114" spans="1:7" x14ac:dyDescent="0.2">
      <c r="A114" s="36"/>
      <c r="B114" s="36"/>
      <c r="C114" s="42"/>
      <c r="D114" s="36"/>
      <c r="E114" s="38"/>
      <c r="F114" t="s">
        <v>123</v>
      </c>
      <c r="G114" t="s">
        <v>373</v>
      </c>
    </row>
    <row r="115" spans="1:7" x14ac:dyDescent="0.2">
      <c r="A115" s="36"/>
      <c r="B115" s="36"/>
      <c r="C115" s="36" t="s">
        <v>124</v>
      </c>
      <c r="D115" s="36" t="s">
        <v>4</v>
      </c>
      <c r="E115" t="s">
        <v>125</v>
      </c>
      <c r="F115" t="s">
        <v>125</v>
      </c>
      <c r="G115" s="43" t="s">
        <v>372</v>
      </c>
    </row>
    <row r="116" spans="1:7" x14ac:dyDescent="0.2">
      <c r="A116" s="36"/>
      <c r="B116" s="36"/>
      <c r="C116" s="36"/>
      <c r="D116" s="36"/>
      <c r="E116" t="s">
        <v>126</v>
      </c>
      <c r="F116" t="s">
        <v>126</v>
      </c>
      <c r="G116" s="43" t="s">
        <v>372</v>
      </c>
    </row>
    <row r="117" spans="1:7" x14ac:dyDescent="0.2">
      <c r="A117" s="36"/>
      <c r="B117" s="36"/>
      <c r="C117" s="36"/>
      <c r="D117" s="36"/>
      <c r="E117" t="s">
        <v>127</v>
      </c>
      <c r="F117" t="s">
        <v>127</v>
      </c>
      <c r="G117" s="43" t="s">
        <v>372</v>
      </c>
    </row>
    <row r="118" spans="1:7" x14ac:dyDescent="0.2">
      <c r="A118" s="36"/>
      <c r="B118" s="36"/>
      <c r="C118" s="36"/>
      <c r="D118" s="36"/>
      <c r="E118" t="s">
        <v>128</v>
      </c>
      <c r="F118" t="s">
        <v>128</v>
      </c>
      <c r="G118" t="s">
        <v>376</v>
      </c>
    </row>
    <row r="119" spans="1:7" x14ac:dyDescent="0.2">
      <c r="A119" s="36"/>
      <c r="B119" s="36"/>
      <c r="C119" s="36"/>
      <c r="D119" s="36"/>
      <c r="E119" t="s">
        <v>129</v>
      </c>
      <c r="F119" t="s">
        <v>129</v>
      </c>
      <c r="G119" t="s">
        <v>376</v>
      </c>
    </row>
    <row r="120" spans="1:7" x14ac:dyDescent="0.2">
      <c r="A120" s="36"/>
      <c r="B120" s="36"/>
      <c r="C120" s="36"/>
      <c r="D120" s="36"/>
      <c r="E120" t="s">
        <v>130</v>
      </c>
      <c r="F120" t="s">
        <v>130</v>
      </c>
      <c r="G120" t="s">
        <v>376</v>
      </c>
    </row>
    <row r="121" spans="1:7" x14ac:dyDescent="0.2">
      <c r="A121" s="36"/>
      <c r="B121" s="36"/>
      <c r="C121" s="36"/>
      <c r="D121" s="36"/>
      <c r="E121" t="s">
        <v>131</v>
      </c>
      <c r="F121" t="s">
        <v>131</v>
      </c>
      <c r="G121" t="s">
        <v>377</v>
      </c>
    </row>
    <row r="122" spans="1:7" x14ac:dyDescent="0.2">
      <c r="A122" s="36"/>
      <c r="B122" s="36"/>
      <c r="C122" s="36"/>
      <c r="D122" s="36"/>
      <c r="E122" t="s">
        <v>102</v>
      </c>
      <c r="F122" t="s">
        <v>102</v>
      </c>
      <c r="G122" t="s">
        <v>373</v>
      </c>
    </row>
    <row r="123" spans="1:7" x14ac:dyDescent="0.2">
      <c r="A123" s="36"/>
      <c r="B123" s="36"/>
      <c r="C123" s="36"/>
      <c r="D123" s="36" t="s">
        <v>132</v>
      </c>
      <c r="E123" t="s">
        <v>133</v>
      </c>
      <c r="F123" t="s">
        <v>133</v>
      </c>
      <c r="G123" s="43" t="s">
        <v>372</v>
      </c>
    </row>
    <row r="124" spans="1:7" x14ac:dyDescent="0.2">
      <c r="A124" s="36"/>
      <c r="B124" s="36"/>
      <c r="C124" s="36"/>
      <c r="D124" s="36"/>
      <c r="E124" t="s">
        <v>134</v>
      </c>
      <c r="F124" t="s">
        <v>134</v>
      </c>
      <c r="G124" s="43" t="s">
        <v>372</v>
      </c>
    </row>
    <row r="125" spans="1:7" x14ac:dyDescent="0.2">
      <c r="A125" s="36"/>
      <c r="B125" s="36"/>
      <c r="C125" s="36"/>
      <c r="D125" s="36"/>
      <c r="E125" t="s">
        <v>135</v>
      </c>
      <c r="F125" t="s">
        <v>135</v>
      </c>
      <c r="G125" s="43" t="s">
        <v>372</v>
      </c>
    </row>
    <row r="126" spans="1:7" x14ac:dyDescent="0.2">
      <c r="A126" s="36"/>
      <c r="B126" s="36"/>
      <c r="C126" s="36"/>
      <c r="D126" s="36"/>
      <c r="E126" t="s">
        <v>136</v>
      </c>
      <c r="F126" t="s">
        <v>136</v>
      </c>
      <c r="G126" t="s">
        <v>376</v>
      </c>
    </row>
    <row r="127" spans="1:7" x14ac:dyDescent="0.2">
      <c r="A127" s="36"/>
      <c r="B127" s="36"/>
      <c r="C127" s="36"/>
      <c r="D127" s="36"/>
      <c r="E127" t="s">
        <v>137</v>
      </c>
      <c r="F127" t="s">
        <v>137</v>
      </c>
      <c r="G127" t="s">
        <v>376</v>
      </c>
    </row>
    <row r="128" spans="1:7" x14ac:dyDescent="0.2">
      <c r="A128" s="36"/>
      <c r="B128" s="36"/>
      <c r="C128" s="36"/>
      <c r="D128" s="36" t="s">
        <v>6</v>
      </c>
      <c r="E128" t="s">
        <v>138</v>
      </c>
      <c r="F128" t="s">
        <v>138</v>
      </c>
      <c r="G128" t="s">
        <v>376</v>
      </c>
    </row>
    <row r="129" spans="1:7" x14ac:dyDescent="0.2">
      <c r="A129" s="36"/>
      <c r="B129" s="36"/>
      <c r="C129" s="36"/>
      <c r="D129" s="36"/>
      <c r="E129" t="s">
        <v>139</v>
      </c>
      <c r="F129" t="s">
        <v>139</v>
      </c>
      <c r="G129" t="s">
        <v>377</v>
      </c>
    </row>
    <row r="130" spans="1:7" x14ac:dyDescent="0.2">
      <c r="A130" s="36"/>
      <c r="B130" s="36"/>
      <c r="C130" s="36"/>
      <c r="D130" s="36"/>
      <c r="E130" t="s">
        <v>140</v>
      </c>
      <c r="F130" t="s">
        <v>140</v>
      </c>
      <c r="G130" t="s">
        <v>373</v>
      </c>
    </row>
    <row r="131" spans="1:7" x14ac:dyDescent="0.2">
      <c r="A131" s="36"/>
      <c r="B131" s="36"/>
      <c r="C131" s="36"/>
      <c r="D131" s="36"/>
      <c r="E131" t="s">
        <v>141</v>
      </c>
      <c r="F131" t="s">
        <v>141</v>
      </c>
      <c r="G131" t="s">
        <v>376</v>
      </c>
    </row>
    <row r="132" spans="1:7" x14ac:dyDescent="0.2">
      <c r="A132" s="36"/>
      <c r="B132" s="36"/>
      <c r="C132" s="36"/>
      <c r="D132" s="36"/>
      <c r="E132" t="s">
        <v>142</v>
      </c>
      <c r="F132" t="s">
        <v>142</v>
      </c>
      <c r="G132" t="s">
        <v>376</v>
      </c>
    </row>
    <row r="133" spans="1:7" x14ac:dyDescent="0.2">
      <c r="A133" s="36"/>
      <c r="B133" s="36"/>
      <c r="C133" s="36"/>
      <c r="D133" s="36"/>
      <c r="E133" t="s">
        <v>143</v>
      </c>
      <c r="F133" t="s">
        <v>143</v>
      </c>
      <c r="G133" t="s">
        <v>376</v>
      </c>
    </row>
    <row r="134" spans="1:7" x14ac:dyDescent="0.2">
      <c r="A134" s="36"/>
      <c r="B134" s="36"/>
      <c r="C134" s="36"/>
      <c r="D134" s="36"/>
      <c r="E134" t="s">
        <v>144</v>
      </c>
      <c r="F134" t="s">
        <v>144</v>
      </c>
      <c r="G134" s="43" t="s">
        <v>372</v>
      </c>
    </row>
    <row r="135" spans="1:7" x14ac:dyDescent="0.2">
      <c r="A135" s="36"/>
      <c r="B135" s="36"/>
      <c r="C135" s="36"/>
      <c r="D135" s="36"/>
      <c r="E135" t="s">
        <v>145</v>
      </c>
      <c r="F135" t="s">
        <v>145</v>
      </c>
      <c r="G135" s="43" t="s">
        <v>372</v>
      </c>
    </row>
    <row r="136" spans="1:7" x14ac:dyDescent="0.2">
      <c r="A136" s="36"/>
      <c r="B136" s="36"/>
      <c r="C136" s="36"/>
      <c r="D136" s="36"/>
      <c r="E136" t="s">
        <v>146</v>
      </c>
      <c r="F136" t="s">
        <v>146</v>
      </c>
      <c r="G136" s="43" t="s">
        <v>372</v>
      </c>
    </row>
    <row r="137" spans="1:7" x14ac:dyDescent="0.2">
      <c r="A137" s="36"/>
      <c r="B137" s="36"/>
      <c r="C137" s="36"/>
      <c r="D137" s="36" t="s">
        <v>147</v>
      </c>
      <c r="E137" s="36" t="s">
        <v>17</v>
      </c>
      <c r="F137" t="s">
        <v>148</v>
      </c>
      <c r="G137" s="43" t="s">
        <v>372</v>
      </c>
    </row>
    <row r="138" spans="1:7" x14ac:dyDescent="0.2">
      <c r="A138" s="36"/>
      <c r="B138" s="36"/>
      <c r="C138" s="36"/>
      <c r="D138" s="36"/>
      <c r="E138" s="36"/>
      <c r="F138" t="s">
        <v>149</v>
      </c>
      <c r="G138" s="43" t="s">
        <v>372</v>
      </c>
    </row>
    <row r="139" spans="1:7" x14ac:dyDescent="0.2">
      <c r="A139" s="36"/>
      <c r="B139" s="36"/>
      <c r="C139" s="36"/>
      <c r="D139" s="36"/>
      <c r="E139" s="36"/>
      <c r="F139" t="s">
        <v>150</v>
      </c>
      <c r="G139" s="43" t="s">
        <v>372</v>
      </c>
    </row>
    <row r="140" spans="1:7" x14ac:dyDescent="0.2">
      <c r="A140" s="36"/>
      <c r="B140" s="36"/>
      <c r="C140" s="36"/>
      <c r="D140" s="36"/>
      <c r="E140" s="36"/>
      <c r="F140" t="s">
        <v>151</v>
      </c>
      <c r="G140" t="s">
        <v>376</v>
      </c>
    </row>
    <row r="141" spans="1:7" x14ac:dyDescent="0.2">
      <c r="A141" s="36"/>
      <c r="B141" s="36"/>
      <c r="C141" s="36"/>
      <c r="D141" s="36"/>
      <c r="E141" s="36"/>
      <c r="F141" t="s">
        <v>152</v>
      </c>
      <c r="G141" t="s">
        <v>376</v>
      </c>
    </row>
    <row r="142" spans="1:7" x14ac:dyDescent="0.2">
      <c r="A142" s="36"/>
      <c r="B142" s="36"/>
      <c r="C142" s="36"/>
      <c r="D142" s="36"/>
      <c r="E142" s="36"/>
      <c r="F142" t="s">
        <v>153</v>
      </c>
      <c r="G142" t="s">
        <v>376</v>
      </c>
    </row>
    <row r="143" spans="1:7" x14ac:dyDescent="0.2">
      <c r="A143" s="36"/>
      <c r="B143" s="36"/>
      <c r="C143" s="36"/>
      <c r="D143" s="36"/>
      <c r="E143" s="36"/>
      <c r="F143" t="s">
        <v>154</v>
      </c>
      <c r="G143" t="s">
        <v>377</v>
      </c>
    </row>
    <row r="144" spans="1:7" x14ac:dyDescent="0.2">
      <c r="A144" s="36"/>
      <c r="B144" s="36"/>
      <c r="C144" s="36"/>
      <c r="D144" s="36"/>
      <c r="E144" s="36"/>
      <c r="F144" t="s">
        <v>155</v>
      </c>
      <c r="G144" t="s">
        <v>373</v>
      </c>
    </row>
    <row r="145" spans="1:7" x14ac:dyDescent="0.2">
      <c r="A145" s="36"/>
      <c r="B145" s="36"/>
      <c r="C145" s="36"/>
      <c r="D145" s="36"/>
      <c r="E145" s="36" t="s">
        <v>26</v>
      </c>
      <c r="F145" t="s">
        <v>156</v>
      </c>
      <c r="G145" s="43" t="s">
        <v>372</v>
      </c>
    </row>
    <row r="146" spans="1:7" x14ac:dyDescent="0.2">
      <c r="A146" s="36"/>
      <c r="B146" s="36"/>
      <c r="C146" s="36"/>
      <c r="D146" s="36"/>
      <c r="E146" s="36"/>
      <c r="F146" t="s">
        <v>157</v>
      </c>
      <c r="G146" s="43" t="s">
        <v>372</v>
      </c>
    </row>
    <row r="147" spans="1:7" x14ac:dyDescent="0.2">
      <c r="A147" s="36"/>
      <c r="B147" s="36"/>
      <c r="C147" s="36"/>
      <c r="D147" s="36"/>
      <c r="E147" s="36"/>
      <c r="F147" t="s">
        <v>158</v>
      </c>
      <c r="G147" s="43" t="s">
        <v>372</v>
      </c>
    </row>
    <row r="148" spans="1:7" x14ac:dyDescent="0.2">
      <c r="A148" s="36"/>
      <c r="B148" s="36"/>
      <c r="C148" s="36"/>
      <c r="D148" s="36"/>
      <c r="E148" s="36"/>
      <c r="F148" t="s">
        <v>159</v>
      </c>
      <c r="G148" t="s">
        <v>376</v>
      </c>
    </row>
    <row r="149" spans="1:7" x14ac:dyDescent="0.2">
      <c r="A149" s="36"/>
      <c r="B149" s="36"/>
      <c r="C149" s="36"/>
      <c r="D149" s="36"/>
      <c r="E149" s="36"/>
      <c r="F149" t="s">
        <v>160</v>
      </c>
      <c r="G149" t="s">
        <v>376</v>
      </c>
    </row>
    <row r="150" spans="1:7" x14ac:dyDescent="0.2">
      <c r="A150" s="36"/>
      <c r="B150" s="36"/>
      <c r="C150" s="36"/>
      <c r="D150" s="36"/>
      <c r="E150" s="36"/>
      <c r="F150" t="s">
        <v>161</v>
      </c>
      <c r="G150" t="s">
        <v>376</v>
      </c>
    </row>
    <row r="151" spans="1:7" x14ac:dyDescent="0.2">
      <c r="A151" s="36"/>
      <c r="B151" s="36"/>
      <c r="C151" s="36"/>
      <c r="D151" s="36"/>
      <c r="E151" s="36"/>
      <c r="F151" t="s">
        <v>162</v>
      </c>
      <c r="G151" t="s">
        <v>377</v>
      </c>
    </row>
    <row r="152" spans="1:7" x14ac:dyDescent="0.2">
      <c r="A152" s="36"/>
      <c r="B152" s="36"/>
      <c r="C152" s="36"/>
      <c r="D152" s="36"/>
      <c r="E152" s="36"/>
      <c r="F152" t="s">
        <v>163</v>
      </c>
      <c r="G152" t="s">
        <v>373</v>
      </c>
    </row>
    <row r="153" spans="1:7" x14ac:dyDescent="0.2">
      <c r="A153" s="36"/>
      <c r="B153" s="36"/>
      <c r="C153" s="36"/>
      <c r="D153" s="36"/>
      <c r="E153" s="39" t="s">
        <v>35</v>
      </c>
      <c r="F153" t="s">
        <v>164</v>
      </c>
      <c r="G153" t="s">
        <v>376</v>
      </c>
    </row>
    <row r="154" spans="1:7" x14ac:dyDescent="0.2">
      <c r="A154" s="36"/>
      <c r="B154" s="36"/>
      <c r="C154" s="36"/>
      <c r="D154" s="36"/>
      <c r="E154" s="39"/>
      <c r="F154" t="s">
        <v>165</v>
      </c>
      <c r="G154" t="s">
        <v>376</v>
      </c>
    </row>
    <row r="155" spans="1:7" x14ac:dyDescent="0.2">
      <c r="A155" s="36"/>
      <c r="B155" s="36"/>
      <c r="C155" s="36"/>
      <c r="D155" s="36"/>
      <c r="E155" s="39"/>
      <c r="F155" t="s">
        <v>166</v>
      </c>
      <c r="G155" t="s">
        <v>376</v>
      </c>
    </row>
    <row r="156" spans="1:7" x14ac:dyDescent="0.2">
      <c r="A156" s="36"/>
      <c r="B156" s="36"/>
      <c r="C156" s="36"/>
      <c r="D156" s="36"/>
      <c r="E156" s="39"/>
      <c r="F156" t="s">
        <v>167</v>
      </c>
      <c r="G156" t="s">
        <v>373</v>
      </c>
    </row>
    <row r="157" spans="1:7" x14ac:dyDescent="0.2">
      <c r="A157" s="36"/>
      <c r="B157" s="36"/>
      <c r="C157" s="36"/>
      <c r="D157" s="36" t="s">
        <v>168</v>
      </c>
      <c r="E157" s="36" t="s">
        <v>17</v>
      </c>
      <c r="F157" t="s">
        <v>169</v>
      </c>
      <c r="G157" s="43" t="s">
        <v>372</v>
      </c>
    </row>
    <row r="158" spans="1:7" x14ac:dyDescent="0.2">
      <c r="A158" s="36"/>
      <c r="B158" s="36"/>
      <c r="C158" s="36"/>
      <c r="D158" s="36"/>
      <c r="E158" s="36"/>
      <c r="F158" t="s">
        <v>170</v>
      </c>
      <c r="G158" s="43" t="s">
        <v>372</v>
      </c>
    </row>
    <row r="159" spans="1:7" x14ac:dyDescent="0.2">
      <c r="A159" s="36"/>
      <c r="B159" s="36"/>
      <c r="C159" s="36"/>
      <c r="D159" s="36"/>
      <c r="E159" s="36"/>
      <c r="F159" t="s">
        <v>171</v>
      </c>
      <c r="G159" s="43" t="s">
        <v>372</v>
      </c>
    </row>
    <row r="160" spans="1:7" x14ac:dyDescent="0.2">
      <c r="A160" s="36"/>
      <c r="B160" s="36"/>
      <c r="C160" s="36"/>
      <c r="D160" s="36"/>
      <c r="E160" s="36"/>
      <c r="F160" t="s">
        <v>172</v>
      </c>
      <c r="G160" t="s">
        <v>376</v>
      </c>
    </row>
    <row r="161" spans="1:7" x14ac:dyDescent="0.2">
      <c r="A161" s="36"/>
      <c r="B161" s="36"/>
      <c r="C161" s="36"/>
      <c r="D161" s="36"/>
      <c r="E161" s="36"/>
      <c r="F161" t="s">
        <v>173</v>
      </c>
      <c r="G161" t="s">
        <v>376</v>
      </c>
    </row>
    <row r="162" spans="1:7" x14ac:dyDescent="0.2">
      <c r="A162" s="36"/>
      <c r="B162" s="36"/>
      <c r="C162" s="36"/>
      <c r="D162" s="36"/>
      <c r="E162" s="36"/>
      <c r="F162" t="s">
        <v>174</v>
      </c>
      <c r="G162" t="s">
        <v>376</v>
      </c>
    </row>
    <row r="163" spans="1:7" x14ac:dyDescent="0.2">
      <c r="A163" s="36"/>
      <c r="B163" s="36"/>
      <c r="C163" s="36"/>
      <c r="D163" s="36"/>
      <c r="E163" s="36"/>
      <c r="F163" t="s">
        <v>175</v>
      </c>
      <c r="G163" t="s">
        <v>377</v>
      </c>
    </row>
    <row r="164" spans="1:7" x14ac:dyDescent="0.2">
      <c r="A164" s="36"/>
      <c r="B164" s="36"/>
      <c r="C164" s="36"/>
      <c r="D164" s="36"/>
      <c r="E164" s="36"/>
      <c r="F164" t="s">
        <v>176</v>
      </c>
      <c r="G164" t="s">
        <v>373</v>
      </c>
    </row>
    <row r="165" spans="1:7" x14ac:dyDescent="0.2">
      <c r="A165" s="36"/>
      <c r="B165" s="36"/>
      <c r="C165" s="36"/>
      <c r="D165" s="36"/>
      <c r="E165" s="36" t="s">
        <v>26</v>
      </c>
      <c r="F165" t="s">
        <v>177</v>
      </c>
      <c r="G165" s="43" t="s">
        <v>372</v>
      </c>
    </row>
    <row r="166" spans="1:7" x14ac:dyDescent="0.2">
      <c r="A166" s="36"/>
      <c r="B166" s="36"/>
      <c r="C166" s="36"/>
      <c r="D166" s="36"/>
      <c r="E166" s="36"/>
      <c r="F166" t="s">
        <v>178</v>
      </c>
      <c r="G166" s="43" t="s">
        <v>372</v>
      </c>
    </row>
    <row r="167" spans="1:7" x14ac:dyDescent="0.2">
      <c r="A167" s="36"/>
      <c r="B167" s="36"/>
      <c r="C167" s="36"/>
      <c r="D167" s="36"/>
      <c r="E167" s="36"/>
      <c r="F167" t="s">
        <v>179</v>
      </c>
      <c r="G167" s="43" t="s">
        <v>372</v>
      </c>
    </row>
    <row r="168" spans="1:7" x14ac:dyDescent="0.2">
      <c r="A168" s="36"/>
      <c r="B168" s="36"/>
      <c r="C168" s="36"/>
      <c r="D168" s="36"/>
      <c r="E168" s="36"/>
      <c r="F168" t="s">
        <v>180</v>
      </c>
      <c r="G168" t="s">
        <v>376</v>
      </c>
    </row>
    <row r="169" spans="1:7" x14ac:dyDescent="0.2">
      <c r="A169" s="36"/>
      <c r="B169" s="36"/>
      <c r="C169" s="36"/>
      <c r="D169" s="36"/>
      <c r="E169" s="36"/>
      <c r="F169" t="s">
        <v>181</v>
      </c>
      <c r="G169" t="s">
        <v>376</v>
      </c>
    </row>
    <row r="170" spans="1:7" x14ac:dyDescent="0.2">
      <c r="A170" s="36"/>
      <c r="B170" s="36"/>
      <c r="C170" s="36"/>
      <c r="D170" s="36"/>
      <c r="E170" s="36"/>
      <c r="F170" t="s">
        <v>182</v>
      </c>
      <c r="G170" t="s">
        <v>376</v>
      </c>
    </row>
    <row r="171" spans="1:7" x14ac:dyDescent="0.2">
      <c r="A171" s="36"/>
      <c r="B171" s="36"/>
      <c r="C171" s="36"/>
      <c r="D171" s="36"/>
      <c r="E171" s="36"/>
      <c r="F171" t="s">
        <v>183</v>
      </c>
      <c r="G171" t="s">
        <v>377</v>
      </c>
    </row>
    <row r="172" spans="1:7" x14ac:dyDescent="0.2">
      <c r="A172" s="36"/>
      <c r="B172" s="36"/>
      <c r="C172" s="36"/>
      <c r="D172" s="36"/>
      <c r="E172" s="36"/>
      <c r="F172" t="s">
        <v>184</v>
      </c>
      <c r="G172" t="s">
        <v>373</v>
      </c>
    </row>
    <row r="173" spans="1:7" x14ac:dyDescent="0.2">
      <c r="A173" s="36"/>
      <c r="B173" s="36"/>
      <c r="C173" s="36"/>
      <c r="D173" s="36"/>
      <c r="E173" s="39" t="s">
        <v>35</v>
      </c>
      <c r="F173" t="s">
        <v>185</v>
      </c>
      <c r="G173" t="s">
        <v>376</v>
      </c>
    </row>
    <row r="174" spans="1:7" x14ac:dyDescent="0.2">
      <c r="A174" s="36"/>
      <c r="B174" s="36"/>
      <c r="C174" s="36"/>
      <c r="D174" s="36"/>
      <c r="E174" s="39"/>
      <c r="F174" t="s">
        <v>186</v>
      </c>
      <c r="G174" t="s">
        <v>376</v>
      </c>
    </row>
    <row r="175" spans="1:7" x14ac:dyDescent="0.2">
      <c r="A175" s="36"/>
      <c r="B175" s="36"/>
      <c r="C175" s="36"/>
      <c r="D175" s="36"/>
      <c r="E175" s="39"/>
      <c r="F175" t="s">
        <v>187</v>
      </c>
      <c r="G175" t="s">
        <v>376</v>
      </c>
    </row>
    <row r="176" spans="1:7" x14ac:dyDescent="0.2">
      <c r="A176" s="36"/>
      <c r="B176" s="36"/>
      <c r="C176" s="36"/>
      <c r="D176" s="36"/>
      <c r="E176" s="39"/>
      <c r="F176" t="s">
        <v>188</v>
      </c>
      <c r="G176" t="s">
        <v>373</v>
      </c>
    </row>
    <row r="177" spans="1:7" x14ac:dyDescent="0.2">
      <c r="A177" s="36"/>
      <c r="B177" s="36"/>
      <c r="C177" s="36"/>
      <c r="D177" s="36" t="s">
        <v>189</v>
      </c>
      <c r="E177" s="36" t="s">
        <v>17</v>
      </c>
      <c r="F177" t="s">
        <v>190</v>
      </c>
      <c r="G177" s="43" t="s">
        <v>372</v>
      </c>
    </row>
    <row r="178" spans="1:7" x14ac:dyDescent="0.2">
      <c r="A178" s="36"/>
      <c r="B178" s="36"/>
      <c r="C178" s="36"/>
      <c r="D178" s="36"/>
      <c r="E178" s="36"/>
      <c r="F178" t="s">
        <v>191</v>
      </c>
      <c r="G178" s="43" t="s">
        <v>372</v>
      </c>
    </row>
    <row r="179" spans="1:7" x14ac:dyDescent="0.2">
      <c r="A179" s="36"/>
      <c r="B179" s="36"/>
      <c r="C179" s="36"/>
      <c r="D179" s="36"/>
      <c r="E179" s="36"/>
      <c r="F179" t="s">
        <v>192</v>
      </c>
      <c r="G179" s="43" t="s">
        <v>372</v>
      </c>
    </row>
    <row r="180" spans="1:7" x14ac:dyDescent="0.2">
      <c r="A180" s="36"/>
      <c r="B180" s="36"/>
      <c r="C180" s="36"/>
      <c r="D180" s="36"/>
      <c r="E180" s="36"/>
      <c r="F180" t="s">
        <v>193</v>
      </c>
      <c r="G180" t="s">
        <v>376</v>
      </c>
    </row>
    <row r="181" spans="1:7" x14ac:dyDescent="0.2">
      <c r="A181" s="36"/>
      <c r="B181" s="36"/>
      <c r="C181" s="36"/>
      <c r="D181" s="36"/>
      <c r="E181" s="36"/>
      <c r="F181" t="s">
        <v>194</v>
      </c>
      <c r="G181" t="s">
        <v>376</v>
      </c>
    </row>
    <row r="182" spans="1:7" x14ac:dyDescent="0.2">
      <c r="A182" s="36"/>
      <c r="B182" s="36"/>
      <c r="C182" s="36"/>
      <c r="D182" s="36"/>
      <c r="E182" s="36"/>
      <c r="F182" t="s">
        <v>195</v>
      </c>
      <c r="G182" t="s">
        <v>376</v>
      </c>
    </row>
    <row r="183" spans="1:7" x14ac:dyDescent="0.2">
      <c r="A183" s="36"/>
      <c r="B183" s="36"/>
      <c r="C183" s="36"/>
      <c r="D183" s="36"/>
      <c r="E183" s="36"/>
      <c r="F183" t="s">
        <v>196</v>
      </c>
      <c r="G183" t="s">
        <v>377</v>
      </c>
    </row>
    <row r="184" spans="1:7" x14ac:dyDescent="0.2">
      <c r="A184" s="36"/>
      <c r="B184" s="36"/>
      <c r="C184" s="36"/>
      <c r="D184" s="36"/>
      <c r="E184" s="36"/>
      <c r="F184" t="s">
        <v>197</v>
      </c>
      <c r="G184" t="s">
        <v>373</v>
      </c>
    </row>
    <row r="185" spans="1:7" x14ac:dyDescent="0.2">
      <c r="A185" s="36"/>
      <c r="B185" s="36"/>
      <c r="C185" s="36"/>
      <c r="D185" s="36"/>
      <c r="E185" s="36" t="s">
        <v>26</v>
      </c>
      <c r="F185" t="s">
        <v>198</v>
      </c>
      <c r="G185" s="43" t="s">
        <v>372</v>
      </c>
    </row>
    <row r="186" spans="1:7" x14ac:dyDescent="0.2">
      <c r="A186" s="36"/>
      <c r="B186" s="36"/>
      <c r="C186" s="36"/>
      <c r="D186" s="36"/>
      <c r="E186" s="36"/>
      <c r="F186" t="s">
        <v>199</v>
      </c>
      <c r="G186" s="43" t="s">
        <v>372</v>
      </c>
    </row>
    <row r="187" spans="1:7" x14ac:dyDescent="0.2">
      <c r="A187" s="36"/>
      <c r="B187" s="36"/>
      <c r="C187" s="36"/>
      <c r="D187" s="36"/>
      <c r="E187" s="36"/>
      <c r="F187" t="s">
        <v>200</v>
      </c>
      <c r="G187" s="43" t="s">
        <v>372</v>
      </c>
    </row>
    <row r="188" spans="1:7" x14ac:dyDescent="0.2">
      <c r="A188" s="36"/>
      <c r="B188" s="36"/>
      <c r="C188" s="36"/>
      <c r="D188" s="36"/>
      <c r="E188" s="36"/>
      <c r="F188" t="s">
        <v>201</v>
      </c>
      <c r="G188" t="s">
        <v>376</v>
      </c>
    </row>
    <row r="189" spans="1:7" x14ac:dyDescent="0.2">
      <c r="A189" s="36"/>
      <c r="B189" s="36"/>
      <c r="C189" s="36"/>
      <c r="D189" s="36"/>
      <c r="E189" s="36"/>
      <c r="F189" t="s">
        <v>202</v>
      </c>
      <c r="G189" t="s">
        <v>376</v>
      </c>
    </row>
    <row r="190" spans="1:7" x14ac:dyDescent="0.2">
      <c r="A190" s="36"/>
      <c r="B190" s="36"/>
      <c r="C190" s="36"/>
      <c r="D190" s="36"/>
      <c r="E190" s="36"/>
      <c r="F190" t="s">
        <v>203</v>
      </c>
      <c r="G190" t="s">
        <v>376</v>
      </c>
    </row>
    <row r="191" spans="1:7" x14ac:dyDescent="0.2">
      <c r="A191" s="36"/>
      <c r="B191" s="36"/>
      <c r="C191" s="36"/>
      <c r="D191" s="36"/>
      <c r="E191" s="36"/>
      <c r="F191" t="s">
        <v>204</v>
      </c>
      <c r="G191" t="s">
        <v>377</v>
      </c>
    </row>
    <row r="192" spans="1:7" x14ac:dyDescent="0.2">
      <c r="A192" s="36"/>
      <c r="B192" s="36"/>
      <c r="C192" s="36"/>
      <c r="D192" s="36"/>
      <c r="E192" s="36"/>
      <c r="F192" t="s">
        <v>205</v>
      </c>
      <c r="G192" t="s">
        <v>373</v>
      </c>
    </row>
    <row r="193" spans="1:7" x14ac:dyDescent="0.2">
      <c r="A193" s="36"/>
      <c r="B193" s="36"/>
      <c r="C193" s="36"/>
      <c r="D193" s="36"/>
      <c r="E193" s="39" t="s">
        <v>35</v>
      </c>
      <c r="F193" t="s">
        <v>206</v>
      </c>
      <c r="G193" t="s">
        <v>376</v>
      </c>
    </row>
    <row r="194" spans="1:7" x14ac:dyDescent="0.2">
      <c r="A194" s="36"/>
      <c r="B194" s="36"/>
      <c r="C194" s="36"/>
      <c r="D194" s="36"/>
      <c r="E194" s="39"/>
      <c r="F194" t="s">
        <v>207</v>
      </c>
      <c r="G194" t="s">
        <v>376</v>
      </c>
    </row>
    <row r="195" spans="1:7" x14ac:dyDescent="0.2">
      <c r="A195" s="36"/>
      <c r="B195" s="36"/>
      <c r="C195" s="36"/>
      <c r="D195" s="36"/>
      <c r="E195" s="39"/>
      <c r="F195" t="s">
        <v>208</v>
      </c>
      <c r="G195" t="s">
        <v>376</v>
      </c>
    </row>
    <row r="196" spans="1:7" x14ac:dyDescent="0.2">
      <c r="A196" s="36"/>
      <c r="B196" s="36"/>
      <c r="C196" s="36"/>
      <c r="D196" s="36"/>
      <c r="E196" s="39"/>
      <c r="F196" t="s">
        <v>209</v>
      </c>
      <c r="G196" t="s">
        <v>373</v>
      </c>
    </row>
    <row r="197" spans="1:7" x14ac:dyDescent="0.2">
      <c r="A197" s="36"/>
      <c r="B197" s="36"/>
      <c r="C197" s="36"/>
      <c r="D197" s="36" t="s">
        <v>210</v>
      </c>
      <c r="E197" s="36" t="s">
        <v>17</v>
      </c>
      <c r="F197" t="s">
        <v>211</v>
      </c>
      <c r="G197" s="43" t="s">
        <v>372</v>
      </c>
    </row>
    <row r="198" spans="1:7" x14ac:dyDescent="0.2">
      <c r="A198" s="36"/>
      <c r="B198" s="36"/>
      <c r="C198" s="36"/>
      <c r="D198" s="36"/>
      <c r="E198" s="36"/>
      <c r="F198" t="s">
        <v>212</v>
      </c>
      <c r="G198" s="43" t="s">
        <v>372</v>
      </c>
    </row>
    <row r="199" spans="1:7" x14ac:dyDescent="0.2">
      <c r="A199" s="36"/>
      <c r="B199" s="36"/>
      <c r="C199" s="36"/>
      <c r="D199" s="36"/>
      <c r="E199" s="36"/>
      <c r="F199" t="s">
        <v>213</v>
      </c>
      <c r="G199" s="43" t="s">
        <v>372</v>
      </c>
    </row>
    <row r="200" spans="1:7" x14ac:dyDescent="0.2">
      <c r="A200" s="36"/>
      <c r="B200" s="36"/>
      <c r="C200" s="36"/>
      <c r="D200" s="36"/>
      <c r="E200" s="36"/>
      <c r="F200" t="s">
        <v>214</v>
      </c>
      <c r="G200" t="s">
        <v>376</v>
      </c>
    </row>
    <row r="201" spans="1:7" x14ac:dyDescent="0.2">
      <c r="A201" s="36"/>
      <c r="B201" s="36"/>
      <c r="C201" s="36"/>
      <c r="D201" s="36"/>
      <c r="E201" s="36"/>
      <c r="F201" t="s">
        <v>215</v>
      </c>
      <c r="G201" t="s">
        <v>376</v>
      </c>
    </row>
    <row r="202" spans="1:7" x14ac:dyDescent="0.2">
      <c r="A202" s="36"/>
      <c r="B202" s="36"/>
      <c r="C202" s="36"/>
      <c r="D202" s="36"/>
      <c r="E202" s="36"/>
      <c r="F202" t="s">
        <v>216</v>
      </c>
      <c r="G202" t="s">
        <v>376</v>
      </c>
    </row>
    <row r="203" spans="1:7" x14ac:dyDescent="0.2">
      <c r="A203" s="36"/>
      <c r="B203" s="36"/>
      <c r="C203" s="36"/>
      <c r="D203" s="36"/>
      <c r="E203" s="36"/>
      <c r="F203" t="s">
        <v>217</v>
      </c>
      <c r="G203" t="s">
        <v>377</v>
      </c>
    </row>
    <row r="204" spans="1:7" x14ac:dyDescent="0.2">
      <c r="A204" s="36"/>
      <c r="B204" s="36"/>
      <c r="C204" s="36"/>
      <c r="D204" s="36"/>
      <c r="E204" s="36"/>
      <c r="F204" t="s">
        <v>218</v>
      </c>
      <c r="G204" t="s">
        <v>373</v>
      </c>
    </row>
    <row r="205" spans="1:7" x14ac:dyDescent="0.2">
      <c r="A205" s="36"/>
      <c r="B205" s="36"/>
      <c r="C205" s="36"/>
      <c r="D205" s="36"/>
      <c r="E205" s="36" t="s">
        <v>26</v>
      </c>
      <c r="F205" t="s">
        <v>219</v>
      </c>
      <c r="G205" s="43" t="s">
        <v>372</v>
      </c>
    </row>
    <row r="206" spans="1:7" x14ac:dyDescent="0.2">
      <c r="A206" s="36"/>
      <c r="B206" s="36"/>
      <c r="C206" s="36"/>
      <c r="D206" s="36"/>
      <c r="E206" s="36"/>
      <c r="F206" t="s">
        <v>220</v>
      </c>
      <c r="G206" s="43" t="s">
        <v>372</v>
      </c>
    </row>
    <row r="207" spans="1:7" x14ac:dyDescent="0.2">
      <c r="A207" s="36"/>
      <c r="B207" s="36"/>
      <c r="C207" s="36"/>
      <c r="D207" s="36"/>
      <c r="E207" s="36"/>
      <c r="F207" t="s">
        <v>221</v>
      </c>
      <c r="G207" s="43" t="s">
        <v>372</v>
      </c>
    </row>
    <row r="208" spans="1:7" x14ac:dyDescent="0.2">
      <c r="A208" s="36"/>
      <c r="B208" s="36"/>
      <c r="C208" s="36"/>
      <c r="D208" s="36"/>
      <c r="E208" s="36"/>
      <c r="F208" t="s">
        <v>222</v>
      </c>
      <c r="G208" t="s">
        <v>376</v>
      </c>
    </row>
    <row r="209" spans="1:7" x14ac:dyDescent="0.2">
      <c r="A209" s="36"/>
      <c r="B209" s="36"/>
      <c r="C209" s="36"/>
      <c r="D209" s="36"/>
      <c r="E209" s="36"/>
      <c r="F209" t="s">
        <v>223</v>
      </c>
      <c r="G209" t="s">
        <v>376</v>
      </c>
    </row>
    <row r="210" spans="1:7" x14ac:dyDescent="0.2">
      <c r="A210" s="36"/>
      <c r="B210" s="36"/>
      <c r="C210" s="36"/>
      <c r="D210" s="36"/>
      <c r="E210" s="36"/>
      <c r="F210" t="s">
        <v>224</v>
      </c>
      <c r="G210" t="s">
        <v>376</v>
      </c>
    </row>
    <row r="211" spans="1:7" x14ac:dyDescent="0.2">
      <c r="A211" s="36"/>
      <c r="B211" s="36"/>
      <c r="C211" s="36"/>
      <c r="D211" s="36"/>
      <c r="E211" s="36"/>
      <c r="F211" t="s">
        <v>225</v>
      </c>
      <c r="G211" t="s">
        <v>377</v>
      </c>
    </row>
    <row r="212" spans="1:7" x14ac:dyDescent="0.2">
      <c r="A212" s="36"/>
      <c r="B212" s="36"/>
      <c r="C212" s="36"/>
      <c r="D212" s="36"/>
      <c r="E212" s="36"/>
      <c r="F212" t="s">
        <v>226</v>
      </c>
      <c r="G212" t="s">
        <v>373</v>
      </c>
    </row>
    <row r="213" spans="1:7" x14ac:dyDescent="0.2">
      <c r="A213" s="36"/>
      <c r="B213" s="36"/>
      <c r="C213" s="36"/>
      <c r="D213" s="36"/>
      <c r="E213" s="39" t="s">
        <v>35</v>
      </c>
      <c r="F213" t="s">
        <v>227</v>
      </c>
      <c r="G213" t="s">
        <v>376</v>
      </c>
    </row>
    <row r="214" spans="1:7" x14ac:dyDescent="0.2">
      <c r="A214" s="36"/>
      <c r="B214" s="36"/>
      <c r="C214" s="36"/>
      <c r="D214" s="36"/>
      <c r="E214" s="39"/>
      <c r="F214" t="s">
        <v>228</v>
      </c>
      <c r="G214" t="s">
        <v>376</v>
      </c>
    </row>
    <row r="215" spans="1:7" x14ac:dyDescent="0.2">
      <c r="A215" s="36"/>
      <c r="B215" s="36"/>
      <c r="C215" s="36"/>
      <c r="D215" s="36"/>
      <c r="E215" s="39"/>
      <c r="F215" t="s">
        <v>229</v>
      </c>
      <c r="G215" t="s">
        <v>376</v>
      </c>
    </row>
    <row r="216" spans="1:7" x14ac:dyDescent="0.2">
      <c r="A216" s="36"/>
      <c r="B216" s="36"/>
      <c r="C216" s="36"/>
      <c r="D216" s="36"/>
      <c r="E216" s="39"/>
      <c r="F216" t="s">
        <v>230</v>
      </c>
      <c r="G216" t="s">
        <v>373</v>
      </c>
    </row>
    <row r="217" spans="1:7" x14ac:dyDescent="0.2">
      <c r="A217" s="36"/>
      <c r="B217" s="36"/>
      <c r="C217" s="36"/>
      <c r="D217" s="36" t="s">
        <v>231</v>
      </c>
      <c r="E217" s="36" t="s">
        <v>17</v>
      </c>
      <c r="F217" t="s">
        <v>232</v>
      </c>
      <c r="G217" s="43" t="s">
        <v>372</v>
      </c>
    </row>
    <row r="218" spans="1:7" x14ac:dyDescent="0.2">
      <c r="A218" s="36"/>
      <c r="B218" s="36"/>
      <c r="C218" s="36"/>
      <c r="D218" s="36"/>
      <c r="E218" s="36"/>
      <c r="F218" t="s">
        <v>233</v>
      </c>
      <c r="G218" s="43" t="s">
        <v>372</v>
      </c>
    </row>
    <row r="219" spans="1:7" x14ac:dyDescent="0.2">
      <c r="A219" s="36"/>
      <c r="B219" s="36"/>
      <c r="C219" s="36"/>
      <c r="D219" s="36"/>
      <c r="E219" s="36"/>
      <c r="F219" t="s">
        <v>234</v>
      </c>
      <c r="G219" s="43" t="s">
        <v>372</v>
      </c>
    </row>
    <row r="220" spans="1:7" x14ac:dyDescent="0.2">
      <c r="A220" s="36"/>
      <c r="B220" s="36"/>
      <c r="C220" s="36"/>
      <c r="D220" s="36"/>
      <c r="E220" s="36"/>
      <c r="F220" t="s">
        <v>235</v>
      </c>
      <c r="G220" t="s">
        <v>376</v>
      </c>
    </row>
    <row r="221" spans="1:7" x14ac:dyDescent="0.2">
      <c r="A221" s="36"/>
      <c r="B221" s="36"/>
      <c r="C221" s="36"/>
      <c r="D221" s="36"/>
      <c r="E221" s="36"/>
      <c r="F221" t="s">
        <v>236</v>
      </c>
      <c r="G221" t="s">
        <v>376</v>
      </c>
    </row>
    <row r="222" spans="1:7" x14ac:dyDescent="0.2">
      <c r="A222" s="36"/>
      <c r="B222" s="36"/>
      <c r="C222" s="36"/>
      <c r="D222" s="36"/>
      <c r="E222" s="36"/>
      <c r="F222" t="s">
        <v>237</v>
      </c>
      <c r="G222" t="s">
        <v>376</v>
      </c>
    </row>
    <row r="223" spans="1:7" x14ac:dyDescent="0.2">
      <c r="A223" s="36"/>
      <c r="B223" s="36"/>
      <c r="C223" s="36"/>
      <c r="D223" s="36"/>
      <c r="E223" s="36"/>
      <c r="F223" t="s">
        <v>238</v>
      </c>
      <c r="G223" t="s">
        <v>377</v>
      </c>
    </row>
    <row r="224" spans="1:7" x14ac:dyDescent="0.2">
      <c r="A224" s="36"/>
      <c r="B224" s="36"/>
      <c r="C224" s="36"/>
      <c r="D224" s="36"/>
      <c r="E224" s="36"/>
      <c r="F224" t="s">
        <v>239</v>
      </c>
      <c r="G224" t="s">
        <v>373</v>
      </c>
    </row>
    <row r="225" spans="1:7" x14ac:dyDescent="0.2">
      <c r="A225" s="36"/>
      <c r="B225" s="36"/>
      <c r="C225" s="36"/>
      <c r="D225" s="36"/>
      <c r="E225" s="36" t="s">
        <v>26</v>
      </c>
      <c r="F225" t="s">
        <v>240</v>
      </c>
      <c r="G225" s="43" t="s">
        <v>372</v>
      </c>
    </row>
    <row r="226" spans="1:7" x14ac:dyDescent="0.2">
      <c r="A226" s="36"/>
      <c r="B226" s="36"/>
      <c r="C226" s="36"/>
      <c r="D226" s="36"/>
      <c r="E226" s="36"/>
      <c r="F226" t="s">
        <v>241</v>
      </c>
      <c r="G226" s="43" t="s">
        <v>372</v>
      </c>
    </row>
    <row r="227" spans="1:7" x14ac:dyDescent="0.2">
      <c r="A227" s="36"/>
      <c r="B227" s="36"/>
      <c r="C227" s="36"/>
      <c r="D227" s="36"/>
      <c r="E227" s="36"/>
      <c r="F227" t="s">
        <v>242</v>
      </c>
      <c r="G227" s="43" t="s">
        <v>372</v>
      </c>
    </row>
    <row r="228" spans="1:7" x14ac:dyDescent="0.2">
      <c r="A228" s="36"/>
      <c r="B228" s="36"/>
      <c r="C228" s="36"/>
      <c r="D228" s="36"/>
      <c r="E228" s="36"/>
      <c r="F228" t="s">
        <v>243</v>
      </c>
      <c r="G228" t="s">
        <v>376</v>
      </c>
    </row>
    <row r="229" spans="1:7" x14ac:dyDescent="0.2">
      <c r="A229" s="36"/>
      <c r="B229" s="36"/>
      <c r="C229" s="36"/>
      <c r="D229" s="36"/>
      <c r="E229" s="36"/>
      <c r="F229" t="s">
        <v>244</v>
      </c>
      <c r="G229" t="s">
        <v>376</v>
      </c>
    </row>
    <row r="230" spans="1:7" x14ac:dyDescent="0.2">
      <c r="A230" s="36"/>
      <c r="B230" s="36"/>
      <c r="C230" s="36"/>
      <c r="D230" s="36"/>
      <c r="E230" s="36"/>
      <c r="F230" t="s">
        <v>245</v>
      </c>
      <c r="G230" t="s">
        <v>376</v>
      </c>
    </row>
    <row r="231" spans="1:7" x14ac:dyDescent="0.2">
      <c r="A231" s="36"/>
      <c r="B231" s="36"/>
      <c r="C231" s="36"/>
      <c r="D231" s="36"/>
      <c r="E231" s="36"/>
      <c r="F231" t="s">
        <v>246</v>
      </c>
      <c r="G231" t="s">
        <v>377</v>
      </c>
    </row>
    <row r="232" spans="1:7" x14ac:dyDescent="0.2">
      <c r="A232" s="36"/>
      <c r="B232" s="36"/>
      <c r="C232" s="36"/>
      <c r="D232" s="36"/>
      <c r="E232" s="36"/>
      <c r="F232" t="s">
        <v>247</v>
      </c>
      <c r="G232" t="s">
        <v>373</v>
      </c>
    </row>
    <row r="233" spans="1:7" x14ac:dyDescent="0.2">
      <c r="A233" s="36"/>
      <c r="B233" s="36"/>
      <c r="C233" s="36"/>
      <c r="D233" s="36"/>
      <c r="E233" s="39" t="s">
        <v>35</v>
      </c>
      <c r="F233" t="s">
        <v>248</v>
      </c>
      <c r="G233" t="s">
        <v>376</v>
      </c>
    </row>
    <row r="234" spans="1:7" x14ac:dyDescent="0.2">
      <c r="A234" s="36"/>
      <c r="B234" s="36"/>
      <c r="C234" s="36"/>
      <c r="D234" s="36"/>
      <c r="E234" s="39"/>
      <c r="F234" t="s">
        <v>249</v>
      </c>
      <c r="G234" t="s">
        <v>376</v>
      </c>
    </row>
    <row r="235" spans="1:7" x14ac:dyDescent="0.2">
      <c r="A235" s="36"/>
      <c r="B235" s="36"/>
      <c r="C235" s="36"/>
      <c r="D235" s="36"/>
      <c r="E235" s="39"/>
      <c r="F235" t="s">
        <v>250</v>
      </c>
      <c r="G235" t="s">
        <v>376</v>
      </c>
    </row>
    <row r="236" spans="1:7" x14ac:dyDescent="0.2">
      <c r="A236" s="36"/>
      <c r="B236" s="36"/>
      <c r="C236" s="36"/>
      <c r="D236" s="36"/>
      <c r="E236" s="39"/>
      <c r="F236" t="s">
        <v>251</v>
      </c>
      <c r="G236" t="s">
        <v>373</v>
      </c>
    </row>
    <row r="237" spans="1:7" x14ac:dyDescent="0.2">
      <c r="A237" s="36"/>
      <c r="B237" s="39" t="s">
        <v>252</v>
      </c>
      <c r="C237" t="s">
        <v>253</v>
      </c>
    </row>
    <row r="238" spans="1:7" x14ac:dyDescent="0.2">
      <c r="A238" s="36"/>
      <c r="B238" s="39"/>
      <c r="C238" t="s">
        <v>254</v>
      </c>
    </row>
    <row r="239" spans="1:7" x14ac:dyDescent="0.2">
      <c r="A239" s="36"/>
      <c r="B239" s="39"/>
      <c r="C239" t="s">
        <v>255</v>
      </c>
    </row>
    <row r="240" spans="1:7" x14ac:dyDescent="0.2">
      <c r="A240" s="36"/>
      <c r="B240" s="39"/>
      <c r="C240" t="s">
        <v>256</v>
      </c>
    </row>
    <row r="241" spans="1:3" x14ac:dyDescent="0.2">
      <c r="A241" s="36"/>
      <c r="B241" s="39"/>
      <c r="C241" t="s">
        <v>257</v>
      </c>
    </row>
    <row r="242" spans="1:3" x14ac:dyDescent="0.2">
      <c r="A242" s="36"/>
      <c r="B242" s="39"/>
      <c r="C242" t="s">
        <v>258</v>
      </c>
    </row>
    <row r="243" spans="1:3" x14ac:dyDescent="0.2">
      <c r="A243" s="36"/>
      <c r="B243" s="39"/>
      <c r="C243" t="s">
        <v>259</v>
      </c>
    </row>
    <row r="244" spans="1:3" x14ac:dyDescent="0.2">
      <c r="A244" s="36"/>
      <c r="B244" s="39"/>
      <c r="C244" t="s">
        <v>260</v>
      </c>
    </row>
    <row r="245" spans="1:3" x14ac:dyDescent="0.2">
      <c r="A245" s="36"/>
      <c r="B245" s="39"/>
      <c r="C245" t="s">
        <v>261</v>
      </c>
    </row>
    <row r="246" spans="1:3" x14ac:dyDescent="0.2">
      <c r="A246" s="36"/>
      <c r="B246" s="39"/>
      <c r="C246" t="s">
        <v>262</v>
      </c>
    </row>
    <row r="247" spans="1:3" x14ac:dyDescent="0.2">
      <c r="A247" s="36"/>
      <c r="B247" s="39"/>
      <c r="C247" t="s">
        <v>263</v>
      </c>
    </row>
    <row r="248" spans="1:3" x14ac:dyDescent="0.2">
      <c r="A248" s="36"/>
      <c r="B248" s="39"/>
      <c r="C248" t="s">
        <v>264</v>
      </c>
    </row>
    <row r="249" spans="1:3" x14ac:dyDescent="0.2">
      <c r="A249" s="36"/>
      <c r="B249" s="39"/>
      <c r="C249" t="s">
        <v>265</v>
      </c>
    </row>
    <row r="250" spans="1:3" x14ac:dyDescent="0.2">
      <c r="A250" s="36"/>
      <c r="B250" s="39"/>
      <c r="C250" t="s">
        <v>266</v>
      </c>
    </row>
    <row r="251" spans="1:3" x14ac:dyDescent="0.2">
      <c r="A251" s="36"/>
      <c r="B251" s="39"/>
      <c r="C251" t="s">
        <v>267</v>
      </c>
    </row>
    <row r="252" spans="1:3" x14ac:dyDescent="0.2">
      <c r="A252" s="36"/>
      <c r="B252" s="39"/>
      <c r="C252" t="s">
        <v>268</v>
      </c>
    </row>
    <row r="253" spans="1:3" x14ac:dyDescent="0.2">
      <c r="A253" s="36"/>
      <c r="B253" s="39"/>
      <c r="C253" t="s">
        <v>269</v>
      </c>
    </row>
    <row r="254" spans="1:3" x14ac:dyDescent="0.2">
      <c r="A254" s="36"/>
      <c r="B254" s="39"/>
      <c r="C254" t="s">
        <v>270</v>
      </c>
    </row>
    <row r="255" spans="1:3" x14ac:dyDescent="0.2">
      <c r="A255" s="36"/>
      <c r="B255" s="39"/>
      <c r="C255" t="s">
        <v>271</v>
      </c>
    </row>
    <row r="256" spans="1:3" x14ac:dyDescent="0.2">
      <c r="A256" s="36"/>
      <c r="B256" s="39"/>
      <c r="C256" t="s">
        <v>272</v>
      </c>
    </row>
    <row r="257" spans="1:3" x14ac:dyDescent="0.2">
      <c r="A257" s="36"/>
      <c r="B257" s="39"/>
      <c r="C257" t="s">
        <v>273</v>
      </c>
    </row>
    <row r="258" spans="1:3" x14ac:dyDescent="0.2">
      <c r="A258" s="36"/>
      <c r="B258" s="39"/>
      <c r="C258" t="s">
        <v>274</v>
      </c>
    </row>
    <row r="259" spans="1:3" x14ac:dyDescent="0.2">
      <c r="A259" s="36"/>
      <c r="B259" s="39"/>
      <c r="C259" t="s">
        <v>275</v>
      </c>
    </row>
    <row r="260" spans="1:3" x14ac:dyDescent="0.2">
      <c r="A260" s="36"/>
      <c r="B260" s="39"/>
      <c r="C260" t="s">
        <v>276</v>
      </c>
    </row>
    <row r="261" spans="1:3" x14ac:dyDescent="0.2">
      <c r="A261" s="36"/>
      <c r="B261" s="39"/>
      <c r="C261" t="s">
        <v>277</v>
      </c>
    </row>
    <row r="262" spans="1:3" x14ac:dyDescent="0.2">
      <c r="A262" s="36"/>
      <c r="B262" s="39"/>
      <c r="C262" t="s">
        <v>278</v>
      </c>
    </row>
    <row r="263" spans="1:3" x14ac:dyDescent="0.2">
      <c r="A263" s="36"/>
      <c r="B263" s="39"/>
      <c r="C263" t="s">
        <v>279</v>
      </c>
    </row>
    <row r="264" spans="1:3" x14ac:dyDescent="0.2">
      <c r="A264" s="36"/>
      <c r="B264" s="39"/>
      <c r="C264" t="s">
        <v>280</v>
      </c>
    </row>
    <row r="265" spans="1:3" x14ac:dyDescent="0.2">
      <c r="A265" s="36"/>
      <c r="B265" s="39"/>
      <c r="C265" t="s">
        <v>281</v>
      </c>
    </row>
    <row r="266" spans="1:3" x14ac:dyDescent="0.2">
      <c r="A266" s="36"/>
      <c r="B266" s="39"/>
      <c r="C266" t="s">
        <v>282</v>
      </c>
    </row>
    <row r="267" spans="1:3" x14ac:dyDescent="0.2">
      <c r="A267" s="36"/>
      <c r="B267" s="39"/>
      <c r="C267" t="s">
        <v>283</v>
      </c>
    </row>
    <row r="268" spans="1:3" x14ac:dyDescent="0.2">
      <c r="A268" s="36"/>
      <c r="B268" t="s">
        <v>284</v>
      </c>
    </row>
    <row r="269" spans="1:3" x14ac:dyDescent="0.2">
      <c r="A269" s="36"/>
      <c r="B269" t="s">
        <v>285</v>
      </c>
    </row>
    <row r="270" spans="1:3" x14ac:dyDescent="0.2">
      <c r="A270" s="36"/>
      <c r="B270" t="s">
        <v>286</v>
      </c>
    </row>
    <row r="271" spans="1:3" x14ac:dyDescent="0.2">
      <c r="A271" s="36"/>
      <c r="B271" t="s">
        <v>287</v>
      </c>
    </row>
    <row r="272" spans="1:3" x14ac:dyDescent="0.2">
      <c r="A272" s="36"/>
      <c r="B272" t="s">
        <v>288</v>
      </c>
    </row>
  </sheetData>
  <mergeCells count="50">
    <mergeCell ref="B237:B267"/>
    <mergeCell ref="D197:D216"/>
    <mergeCell ref="E197:E204"/>
    <mergeCell ref="E205:E212"/>
    <mergeCell ref="E213:E216"/>
    <mergeCell ref="D217:D236"/>
    <mergeCell ref="E217:E224"/>
    <mergeCell ref="E225:E232"/>
    <mergeCell ref="E233:E236"/>
    <mergeCell ref="C115:C236"/>
    <mergeCell ref="E177:E184"/>
    <mergeCell ref="E185:E192"/>
    <mergeCell ref="E193:E196"/>
    <mergeCell ref="E95:E102"/>
    <mergeCell ref="E103:E110"/>
    <mergeCell ref="E111:E114"/>
    <mergeCell ref="E137:E144"/>
    <mergeCell ref="E145:E152"/>
    <mergeCell ref="E153:E156"/>
    <mergeCell ref="E157:E164"/>
    <mergeCell ref="E165:E172"/>
    <mergeCell ref="E173:E176"/>
    <mergeCell ref="E55:E62"/>
    <mergeCell ref="E63:E70"/>
    <mergeCell ref="E71:E74"/>
    <mergeCell ref="D75:D94"/>
    <mergeCell ref="E75:E82"/>
    <mergeCell ref="E83:E90"/>
    <mergeCell ref="E91:E94"/>
    <mergeCell ref="E15:E22"/>
    <mergeCell ref="E23:E30"/>
    <mergeCell ref="E31:E34"/>
    <mergeCell ref="D35:D54"/>
    <mergeCell ref="E35:E42"/>
    <mergeCell ref="E43:E50"/>
    <mergeCell ref="E51:E54"/>
    <mergeCell ref="A1:A272"/>
    <mergeCell ref="B1:B236"/>
    <mergeCell ref="D1:D2"/>
    <mergeCell ref="D3:D5"/>
    <mergeCell ref="D6:D14"/>
    <mergeCell ref="D15:D34"/>
    <mergeCell ref="D55:D74"/>
    <mergeCell ref="D95:D114"/>
    <mergeCell ref="D177:D196"/>
    <mergeCell ref="D115:D122"/>
    <mergeCell ref="D123:D127"/>
    <mergeCell ref="D128:D136"/>
    <mergeCell ref="D137:D156"/>
    <mergeCell ref="D157:D176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Notas</vt:lpstr>
      <vt:lpstr>Árvore Parques</vt:lpstr>
      <vt:lpstr>BOP</vt:lpstr>
    </vt:vector>
  </TitlesOfParts>
  <Company>Brookfield Energia Renovavel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Fernanda Carvalho Marinho</dc:creator>
  <cp:lastModifiedBy>Fernanda Marinho</cp:lastModifiedBy>
  <dcterms:created xsi:type="dcterms:W3CDTF">2021-10-26T19:12:15Z</dcterms:created>
  <dcterms:modified xsi:type="dcterms:W3CDTF">2021-11-23T19:25:49Z</dcterms:modified>
</cp:coreProperties>
</file>